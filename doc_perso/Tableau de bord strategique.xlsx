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edeliege.sharepoint.com/sites/DirectionStrategieetDeveloppement/Documents partages/PST/Tableau de bord stratégique/"/>
    </mc:Choice>
  </mc:AlternateContent>
  <xr:revisionPtr revIDLastSave="899" documentId="11_1D2222D1265651F929E9F2F486EC56E9E7A2CE81" xr6:coauthVersionLast="47" xr6:coauthVersionMax="47" xr10:uidLastSave="{263A97E7-BD43-4CAD-BA07-3061C0257AEE}"/>
  <bookViews>
    <workbookView xWindow="28680" yWindow="-120" windowWidth="29040" windowHeight="15720" tabRatio="599" activeTab="5" xr2:uid="{00000000-000D-0000-FFFF-FFFF00000000}"/>
  </bookViews>
  <sheets>
    <sheet name="Accueil" sheetId="1" r:id="rId1"/>
    <sheet name="Général" sheetId="2" r:id="rId2"/>
    <sheet name="Back_général" sheetId="3" r:id="rId3"/>
    <sheet name="E&amp;C" sheetId="4" r:id="rId4"/>
    <sheet name="Educ" sheetId="6" r:id="rId5"/>
    <sheet name="Back_E&amp;C" sheetId="5" r:id="rId6"/>
    <sheet name="CTP" sheetId="7" r:id="rId7"/>
  </sheets>
  <definedNames>
    <definedName name="_xlnm._FilterDatabase" localSheetId="5" hidden="1">'Back_E&amp;C'!$A$3:$K$30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6" l="1"/>
  <c r="E15" i="6"/>
  <c r="F15" i="6"/>
  <c r="G15" i="6"/>
  <c r="C15" i="6"/>
  <c r="D14" i="6"/>
  <c r="E14" i="6"/>
  <c r="F14" i="6"/>
  <c r="G14" i="6"/>
  <c r="C14" i="6"/>
  <c r="E37" i="4"/>
  <c r="D37" i="4"/>
  <c r="B47" i="4" l="1"/>
  <c r="B37" i="4"/>
  <c r="B32" i="4"/>
  <c r="J35" i="5" l="1"/>
  <c r="K35" i="5"/>
  <c r="J36" i="5"/>
  <c r="K36" i="5"/>
  <c r="J37" i="5"/>
  <c r="K37" i="5"/>
  <c r="B35" i="5"/>
  <c r="D35" i="5"/>
  <c r="E35" i="5"/>
  <c r="B36" i="5"/>
  <c r="D36" i="5"/>
  <c r="E36" i="5"/>
  <c r="B37" i="5"/>
  <c r="B34" i="4" s="1"/>
  <c r="D37" i="5"/>
  <c r="E37" i="5"/>
  <c r="D47" i="4"/>
  <c r="E47" i="4"/>
  <c r="H35" i="5"/>
  <c r="E32" i="4" s="1"/>
  <c r="F35" i="5"/>
  <c r="D32" i="4" s="1"/>
  <c r="H36" i="5"/>
  <c r="E33" i="4" s="1"/>
  <c r="H37" i="5"/>
  <c r="E34" i="4" s="1"/>
  <c r="F37" i="5"/>
  <c r="D34" i="4" s="1"/>
  <c r="F36" i="5"/>
  <c r="D33" i="4" s="1"/>
  <c r="O33" i="3"/>
  <c r="O4" i="2" s="1"/>
  <c r="O32" i="2" s="1"/>
  <c r="O34" i="3"/>
  <c r="O35" i="3" s="1"/>
  <c r="O38" i="3" s="1"/>
  <c r="O6" i="2" s="1"/>
  <c r="O37" i="3"/>
  <c r="C37" i="3"/>
  <c r="D37" i="3"/>
  <c r="E37" i="3"/>
  <c r="F37" i="3"/>
  <c r="G37" i="3"/>
  <c r="H37" i="3"/>
  <c r="I37" i="3"/>
  <c r="J37" i="3"/>
  <c r="K37" i="3"/>
  <c r="L37" i="3"/>
  <c r="M37" i="3"/>
  <c r="N37" i="3"/>
  <c r="B37" i="3"/>
  <c r="K35" i="3"/>
  <c r="K5" i="2" s="1"/>
  <c r="C34" i="3"/>
  <c r="D34" i="3"/>
  <c r="E34" i="3"/>
  <c r="F34" i="3"/>
  <c r="G34" i="3"/>
  <c r="H34" i="3"/>
  <c r="I34" i="3"/>
  <c r="J34" i="3"/>
  <c r="K34" i="3"/>
  <c r="L34" i="3"/>
  <c r="M34" i="3"/>
  <c r="N34" i="3"/>
  <c r="B34" i="3"/>
  <c r="C33" i="3"/>
  <c r="D33" i="3"/>
  <c r="E33" i="3"/>
  <c r="E35" i="3" s="1"/>
  <c r="F33" i="3"/>
  <c r="F35" i="3" s="1"/>
  <c r="G33" i="3"/>
  <c r="G35" i="3" s="1"/>
  <c r="H33" i="3"/>
  <c r="H35" i="3" s="1"/>
  <c r="I33" i="3"/>
  <c r="I4" i="2" s="1"/>
  <c r="J33" i="3"/>
  <c r="J4" i="2" s="1"/>
  <c r="K33" i="3"/>
  <c r="K4" i="2" s="1"/>
  <c r="L33" i="3"/>
  <c r="L35" i="3" s="1"/>
  <c r="M33" i="3"/>
  <c r="M35" i="3" s="1"/>
  <c r="N33" i="3"/>
  <c r="N35" i="3" s="1"/>
  <c r="B33" i="3"/>
  <c r="B35" i="3" s="1"/>
  <c r="B40" i="5" l="1"/>
  <c r="B33" i="4"/>
  <c r="B35" i="4" s="1"/>
  <c r="B38" i="4" s="1"/>
  <c r="E40" i="5"/>
  <c r="D40" i="5"/>
  <c r="K40" i="5"/>
  <c r="J40" i="5"/>
  <c r="H40" i="5"/>
  <c r="I25" i="5" s="1"/>
  <c r="F40" i="5"/>
  <c r="E35" i="4"/>
  <c r="E38" i="4" s="1"/>
  <c r="D35" i="4"/>
  <c r="D38" i="4" s="1"/>
  <c r="C35" i="3"/>
  <c r="J35" i="3"/>
  <c r="H4" i="2"/>
  <c r="G4" i="2"/>
  <c r="D35" i="3"/>
  <c r="D38" i="3" s="1"/>
  <c r="D6" i="2" s="1"/>
  <c r="B38" i="3"/>
  <c r="B6" i="2" s="1"/>
  <c r="B5" i="2"/>
  <c r="N38" i="3"/>
  <c r="N6" i="2" s="1"/>
  <c r="N5" i="2"/>
  <c r="L5" i="2"/>
  <c r="L38" i="3"/>
  <c r="L6" i="2" s="1"/>
  <c r="F38" i="3"/>
  <c r="F6" i="2" s="1"/>
  <c r="F5" i="2"/>
  <c r="E38" i="3"/>
  <c r="E6" i="2" s="1"/>
  <c r="E5" i="2"/>
  <c r="C38" i="3"/>
  <c r="C6" i="2" s="1"/>
  <c r="C5" i="2"/>
  <c r="M38" i="3"/>
  <c r="M6" i="2" s="1"/>
  <c r="M5" i="2"/>
  <c r="J5" i="2"/>
  <c r="J38" i="3"/>
  <c r="J6" i="2" s="1"/>
  <c r="H38" i="3"/>
  <c r="H6" i="2" s="1"/>
  <c r="H5" i="2"/>
  <c r="G38" i="3"/>
  <c r="G6" i="2" s="1"/>
  <c r="G5" i="2"/>
  <c r="I35" i="3"/>
  <c r="K38" i="3"/>
  <c r="K6" i="2" s="1"/>
  <c r="F4" i="2"/>
  <c r="E4" i="2"/>
  <c r="B4" i="2"/>
  <c r="D4" i="2"/>
  <c r="C4" i="2"/>
  <c r="N4" i="2"/>
  <c r="N32" i="2" s="1"/>
  <c r="M4" i="2"/>
  <c r="M32" i="2" s="1"/>
  <c r="O5" i="2"/>
  <c r="L4" i="2"/>
  <c r="L32" i="2" s="1"/>
  <c r="I17" i="5" l="1"/>
  <c r="I13" i="5"/>
  <c r="I18" i="5"/>
  <c r="I28" i="5"/>
  <c r="G11" i="5"/>
  <c r="G23" i="5"/>
  <c r="G13" i="5"/>
  <c r="G12" i="5"/>
  <c r="G37" i="5" s="1"/>
  <c r="D44" i="4" s="1"/>
  <c r="G24" i="5"/>
  <c r="G25" i="5"/>
  <c r="G14" i="5"/>
  <c r="G26" i="5"/>
  <c r="G16" i="5"/>
  <c r="G28" i="5"/>
  <c r="G9" i="5"/>
  <c r="G21" i="5"/>
  <c r="G5" i="5"/>
  <c r="G17" i="5"/>
  <c r="G29" i="5"/>
  <c r="G7" i="5"/>
  <c r="G19" i="5"/>
  <c r="G35" i="5" s="1"/>
  <c r="D42" i="4" s="1"/>
  <c r="G31" i="5"/>
  <c r="G6" i="5"/>
  <c r="G18" i="5"/>
  <c r="G30" i="5"/>
  <c r="G8" i="5"/>
  <c r="G20" i="5"/>
  <c r="G10" i="5"/>
  <c r="G22" i="5"/>
  <c r="G15" i="5"/>
  <c r="G27" i="5"/>
  <c r="G4" i="5"/>
  <c r="I9" i="5"/>
  <c r="I19" i="5"/>
  <c r="I35" i="5" s="1"/>
  <c r="E42" i="4" s="1"/>
  <c r="I4" i="5"/>
  <c r="I11" i="5"/>
  <c r="I6" i="5"/>
  <c r="I20" i="5"/>
  <c r="I27" i="5"/>
  <c r="I7" i="5"/>
  <c r="I10" i="5"/>
  <c r="I23" i="5"/>
  <c r="I22" i="5"/>
  <c r="I12" i="5"/>
  <c r="C8" i="5"/>
  <c r="C20" i="5"/>
  <c r="C4" i="5"/>
  <c r="C10" i="5"/>
  <c r="C9" i="5"/>
  <c r="C21" i="5"/>
  <c r="C22" i="5"/>
  <c r="C11" i="5"/>
  <c r="C23" i="5"/>
  <c r="C13" i="5"/>
  <c r="C25" i="5"/>
  <c r="C6" i="5"/>
  <c r="C18" i="5"/>
  <c r="C30" i="5"/>
  <c r="C14" i="5"/>
  <c r="C26" i="5"/>
  <c r="C16" i="5"/>
  <c r="C28" i="5"/>
  <c r="C15" i="5"/>
  <c r="C27" i="5"/>
  <c r="C5" i="5"/>
  <c r="C17" i="5"/>
  <c r="C29" i="5"/>
  <c r="C7" i="5"/>
  <c r="C19" i="5"/>
  <c r="C31" i="5"/>
  <c r="C12" i="5"/>
  <c r="C37" i="5" s="1"/>
  <c r="B44" i="4" s="1"/>
  <c r="C24" i="5"/>
  <c r="I5" i="5"/>
  <c r="I24" i="5"/>
  <c r="I15" i="5"/>
  <c r="I37" i="5"/>
  <c r="E44" i="4" s="1"/>
  <c r="I29" i="5"/>
  <c r="I14" i="5"/>
  <c r="G36" i="5"/>
  <c r="D43" i="4" s="1"/>
  <c r="I31" i="5"/>
  <c r="I26" i="5"/>
  <c r="I16" i="5"/>
  <c r="I8" i="5"/>
  <c r="I21" i="5"/>
  <c r="I30" i="5"/>
  <c r="I36" i="5"/>
  <c r="E43" i="4" s="1"/>
  <c r="C36" i="5"/>
  <c r="B43" i="4" s="1"/>
  <c r="C35" i="5"/>
  <c r="B42" i="4" s="1"/>
  <c r="D5" i="2"/>
  <c r="I5" i="2"/>
  <c r="I38" i="3"/>
  <c r="I6" i="2" s="1"/>
  <c r="B45" i="4" l="1"/>
  <c r="B48" i="4" s="1"/>
  <c r="D45" i="4"/>
  <c r="D48" i="4" s="1"/>
  <c r="I40" i="5"/>
  <c r="C40" i="5"/>
  <c r="G40" i="5"/>
  <c r="E45" i="4"/>
  <c r="E48" i="4" s="1"/>
</calcChain>
</file>

<file path=xl/sharedStrings.xml><?xml version="1.0" encoding="utf-8"?>
<sst xmlns="http://schemas.openxmlformats.org/spreadsheetml/2006/main" count="238" uniqueCount="199">
  <si>
    <t>Catégorie générale</t>
  </si>
  <si>
    <t>Population</t>
  </si>
  <si>
    <t>Cliquez ici</t>
  </si>
  <si>
    <t>Densité de population</t>
  </si>
  <si>
    <t>Catégorie Économie et commerce</t>
  </si>
  <si>
    <t>Nombre d'entreprises</t>
  </si>
  <si>
    <t>Nombre de travailleurs salariés et communes d'origine</t>
  </si>
  <si>
    <t>Éducation</t>
  </si>
  <si>
    <t>Nombres d'étudiants de l'Uliège, par domicil et kot</t>
  </si>
  <si>
    <t>Années</t>
  </si>
  <si>
    <t>Liège Ville</t>
  </si>
  <si>
    <t>Agglomération (Liège + Périphérique)</t>
  </si>
  <si>
    <t>Région urbaine (Agglo + Banlieue)</t>
  </si>
  <si>
    <t>Source</t>
  </si>
  <si>
    <t>SPF Intérieur</t>
  </si>
  <si>
    <t>Mise à jour</t>
  </si>
  <si>
    <t>Taille du territoire</t>
  </si>
  <si>
    <t>km²</t>
  </si>
  <si>
    <t>Année</t>
  </si>
  <si>
    <t>Quartiers</t>
  </si>
  <si>
    <t>Amercœur</t>
  </si>
  <si>
    <t>Angleur</t>
  </si>
  <si>
    <t>Belleflamme</t>
  </si>
  <si>
    <t>Bois-de-Breux</t>
  </si>
  <si>
    <t>Bressoux</t>
  </si>
  <si>
    <t>Bressoux Gare</t>
  </si>
  <si>
    <t>Bressoux Quai</t>
  </si>
  <si>
    <t>Burenville</t>
  </si>
  <si>
    <t>Campine</t>
  </si>
  <si>
    <t>Cathédrale Saint-Paul</t>
  </si>
  <si>
    <t>Chênée</t>
  </si>
  <si>
    <t>Chênée Gare</t>
  </si>
  <si>
    <t>Chênée-Thiers</t>
  </si>
  <si>
    <t>Cité Demoitelle</t>
  </si>
  <si>
    <t>Cointe Est</t>
  </si>
  <si>
    <t>Cointe Ouest</t>
  </si>
  <si>
    <t>Cornillon</t>
  </si>
  <si>
    <t>Cornillon Bas</t>
  </si>
  <si>
    <t>Côte d'Or</t>
  </si>
  <si>
    <t>Dehin-Hesbaye</t>
  </si>
  <si>
    <t>Droixhe</t>
  </si>
  <si>
    <t>Évêché</t>
  </si>
  <si>
    <t>Fayembois Ouest</t>
  </si>
  <si>
    <t>Féronstrée</t>
  </si>
  <si>
    <t>Fétinne</t>
  </si>
  <si>
    <t>Fond des Tawes</t>
  </si>
  <si>
    <t>Fragnée</t>
  </si>
  <si>
    <t>Garde-Dieu</t>
  </si>
  <si>
    <t>Glain Est</t>
  </si>
  <si>
    <t>Glain Ouest</t>
  </si>
  <si>
    <t>Grivegnée</t>
  </si>
  <si>
    <t>Guillemins</t>
  </si>
  <si>
    <t>Haut-Pré</t>
  </si>
  <si>
    <t>Jardin botanique</t>
  </si>
  <si>
    <t>Jean de Wilde</t>
  </si>
  <si>
    <t>Jonfosse</t>
  </si>
  <si>
    <t>Jupille-sur-Meuse Est</t>
  </si>
  <si>
    <t>Jupille-sur-Meuse Ouest</t>
  </si>
  <si>
    <t>Kinkempois</t>
  </si>
  <si>
    <t>La Bonne Femme</t>
  </si>
  <si>
    <t>La Boverie</t>
  </si>
  <si>
    <t>La Tonne</t>
  </si>
  <si>
    <t>Laveu Est</t>
  </si>
  <si>
    <t>Laveu Nord</t>
  </si>
  <si>
    <t>Laveu Ouest</t>
  </si>
  <si>
    <t>Le Carré</t>
  </si>
  <si>
    <t>Les Piétresses</t>
  </si>
  <si>
    <t>Les Vennes</t>
  </si>
  <si>
    <t>Longdoz</t>
  </si>
  <si>
    <t>Luxembourg</t>
  </si>
  <si>
    <t>Malvaux</t>
  </si>
  <si>
    <t>Molinvaux</t>
  </si>
  <si>
    <t>Outremeuse Nord</t>
  </si>
  <si>
    <t>Outremeuse Sud</t>
  </si>
  <si>
    <t>Parc d'Avroy</t>
  </si>
  <si>
    <t>Parc de Cointe</t>
  </si>
  <si>
    <t>Péville</t>
  </si>
  <si>
    <t>Pierreuse-Sainte-Marguerite</t>
  </si>
  <si>
    <t>Rabosée</t>
  </si>
  <si>
    <t>Robermont</t>
  </si>
  <si>
    <t>Rocourt Nord-Est</t>
  </si>
  <si>
    <t>Rocourt Nord-Ouest</t>
  </si>
  <si>
    <t>Rocourt Sud</t>
  </si>
  <si>
    <t>Sainte-Walburge</t>
  </si>
  <si>
    <t>Saint-Gilles</t>
  </si>
  <si>
    <t>Saint-Lambert</t>
  </si>
  <si>
    <t>Saint-Laurent</t>
  </si>
  <si>
    <t>Saint-Léonard Centre</t>
  </si>
  <si>
    <t>Saint-Léonard Est</t>
  </si>
  <si>
    <t>Saint-Léonard Ouest</t>
  </si>
  <si>
    <t>Sart-Tilman</t>
  </si>
  <si>
    <t>Sclessin</t>
  </si>
  <si>
    <t>Seeliger</t>
  </si>
  <si>
    <t>Sous les Vignes</t>
  </si>
  <si>
    <t>Terrasses</t>
  </si>
  <si>
    <t>Thier-à-Liège</t>
  </si>
  <si>
    <t>Tribouillet</t>
  </si>
  <si>
    <t>Val-Benoît</t>
  </si>
  <si>
    <t>Wandre Est</t>
  </si>
  <si>
    <t>Wandre Ouest</t>
  </si>
  <si>
    <t>Xhovémont</t>
  </si>
  <si>
    <t>Walstat</t>
  </si>
  <si>
    <t>Commune</t>
  </si>
  <si>
    <t>Ans</t>
  </si>
  <si>
    <t>Awans</t>
  </si>
  <si>
    <t>Bassenge</t>
  </si>
  <si>
    <t>Beyne-Heusay</t>
  </si>
  <si>
    <t>Blegny</t>
  </si>
  <si>
    <t>Chaudfontaine</t>
  </si>
  <si>
    <t>Crisnée</t>
  </si>
  <si>
    <t>Engis</t>
  </si>
  <si>
    <t>Esneux</t>
  </si>
  <si>
    <t>Fexhe-le-Haut-Clocher</t>
  </si>
  <si>
    <t>Flémalle</t>
  </si>
  <si>
    <t>Fléron</t>
  </si>
  <si>
    <t>Grâce-Hollogne</t>
  </si>
  <si>
    <t>Herstal</t>
  </si>
  <si>
    <t>Juprelle</t>
  </si>
  <si>
    <t>Liège</t>
  </si>
  <si>
    <t>Nandrin</t>
  </si>
  <si>
    <t>Neupré</t>
  </si>
  <si>
    <t>Olne</t>
  </si>
  <si>
    <t>Oreye</t>
  </si>
  <si>
    <t>Oupeye</t>
  </si>
  <si>
    <t>Saint-Georges-sur-Meuse</t>
  </si>
  <si>
    <t>Saint-Nicolas</t>
  </si>
  <si>
    <t>Seraing</t>
  </si>
  <si>
    <t>Soumagne</t>
  </si>
  <si>
    <t>Sprimont</t>
  </si>
  <si>
    <t>Trooz</t>
  </si>
  <si>
    <t>Visé</t>
  </si>
  <si>
    <t>Total Périphérie</t>
  </si>
  <si>
    <t>Liège + Périphérie</t>
  </si>
  <si>
    <t>Total Banlieue</t>
  </si>
  <si>
    <t>Total Région urbaine</t>
  </si>
  <si>
    <t>Entreprises</t>
  </si>
  <si>
    <t>Créations</t>
  </si>
  <si>
    <t>Radiations</t>
  </si>
  <si>
    <t>ASBL</t>
  </si>
  <si>
    <t>Statbel</t>
  </si>
  <si>
    <t>Nombre de travailleurs salariés à Liège et communes d'origine</t>
  </si>
  <si>
    <t>Chiffres bruts</t>
  </si>
  <si>
    <t>Périphérie</t>
  </si>
  <si>
    <t>Banlieue</t>
  </si>
  <si>
    <t>Autres communes</t>
  </si>
  <si>
    <t>Total</t>
  </si>
  <si>
    <t>Pourcentages</t>
  </si>
  <si>
    <t xml:space="preserve">Source : </t>
  </si>
  <si>
    <t>Mind it &amp; ONSS</t>
  </si>
  <si>
    <t>Mise à jour :</t>
  </si>
  <si>
    <t>Étudiants de l'Uliège, par domicile et kot</t>
  </si>
  <si>
    <t>2020-2021</t>
  </si>
  <si>
    <t>2021-2022</t>
  </si>
  <si>
    <t>2022-2023</t>
  </si>
  <si>
    <t>2023-2024</t>
  </si>
  <si>
    <t>2024-2025</t>
  </si>
  <si>
    <t>Domicile à Liège</t>
  </si>
  <si>
    <t>Kot à Liège</t>
  </si>
  <si>
    <t>Pas de kot à Liège</t>
  </si>
  <si>
    <t>Total domicile à Liège</t>
  </si>
  <si>
    <t>Pas de domicile à Liège</t>
  </si>
  <si>
    <t>Total Pas de domicile à Liège</t>
  </si>
  <si>
    <t>Nombre total d'étudiants</t>
  </si>
  <si>
    <t>Nombre d'étudiants vivant à Liège</t>
  </si>
  <si>
    <t>Part des étudiants vivant à Liège</t>
  </si>
  <si>
    <t>Service RADIUS, ULiège</t>
  </si>
  <si>
    <t>Chiffres</t>
  </si>
  <si>
    <t>%</t>
  </si>
  <si>
    <t>ANS</t>
  </si>
  <si>
    <t>AWANS</t>
  </si>
  <si>
    <t>BASSENGE</t>
  </si>
  <si>
    <t>BEYNE-HEUSAY</t>
  </si>
  <si>
    <t>BLEGNY</t>
  </si>
  <si>
    <t>CHAUDFONTAINE</t>
  </si>
  <si>
    <t>CRISNEE</t>
  </si>
  <si>
    <t>ENGIS</t>
  </si>
  <si>
    <t>ESNEUX</t>
  </si>
  <si>
    <t>FEXHE-LE-HAUT-CLOCHER</t>
  </si>
  <si>
    <t>FLEMALLE</t>
  </si>
  <si>
    <t>FLERON</t>
  </si>
  <si>
    <t>GRACE-HOLLOGNE</t>
  </si>
  <si>
    <t>HERSTAL</t>
  </si>
  <si>
    <t>JUPRELLE</t>
  </si>
  <si>
    <t>LIEGE</t>
  </si>
  <si>
    <t>NANDRIN</t>
  </si>
  <si>
    <t>NEUPRE</t>
  </si>
  <si>
    <t>OLNE</t>
  </si>
  <si>
    <t>OREYE</t>
  </si>
  <si>
    <t>OUPEYE</t>
  </si>
  <si>
    <t>SAINT-GEORGES-SUR-MEUSE</t>
  </si>
  <si>
    <t>SAINT-NICOLAS (LIEGE)</t>
  </si>
  <si>
    <t>SERAING</t>
  </si>
  <si>
    <t>SOUMAGNE</t>
  </si>
  <si>
    <t>SPRIMONT</t>
  </si>
  <si>
    <t>TROOZ</t>
  </si>
  <si>
    <t>VISE</t>
  </si>
  <si>
    <t>Total Aglomération</t>
  </si>
  <si>
    <t>infos</t>
  </si>
  <si>
    <t>https://owt.tourismewallonie.be/telechargement/liege/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</si>
</sst>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CAC9D9"/>
      </top>
      <bottom style="thin">
        <color rgb="FFDDDDDD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 vertical="center"/>
    </xf>
    <xf numFmtId="0" fontId="1" fillId="0" borderId="0" xfId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0" fontId="4" fillId="3" borderId="0" xfId="0" applyFont="1" applyFill="1"/>
    <xf numFmtId="164" fontId="0" fillId="0" borderId="0" xfId="0" applyNumberFormat="1"/>
    <xf numFmtId="0" fontId="2" fillId="0" borderId="2" xfId="0" applyFont="1" applyBorder="1"/>
    <xf numFmtId="1" fontId="2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1" fillId="0" borderId="0" xfId="2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" fontId="0" fillId="0" borderId="0" xfId="0" applyNumberFormat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0" xfId="1" applyAlignment="1">
      <alignment horizontal="center" vertical="center"/>
    </xf>
    <xf numFmtId="0" fontId="1" fillId="0" borderId="0" xfId="2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/>
    <xf numFmtId="3" fontId="0" fillId="0" borderId="0" xfId="0" applyNumberFormat="1"/>
    <xf numFmtId="165" fontId="0" fillId="0" borderId="0" xfId="3" applyNumberFormat="1" applyFont="1"/>
    <xf numFmtId="0" fontId="4" fillId="5" borderId="0" xfId="0" applyFont="1" applyFill="1"/>
    <xf numFmtId="0" fontId="4" fillId="6" borderId="0" xfId="0" applyFont="1" applyFill="1"/>
    <xf numFmtId="0" fontId="2" fillId="6" borderId="0" xfId="0" applyFont="1" applyFill="1"/>
    <xf numFmtId="0" fontId="2" fillId="7" borderId="0" xfId="0" applyFont="1" applyFill="1"/>
    <xf numFmtId="0" fontId="0" fillId="3" borderId="0" xfId="0" applyFill="1"/>
    <xf numFmtId="0" fontId="4" fillId="8" borderId="0" xfId="0" applyFont="1" applyFill="1"/>
    <xf numFmtId="0" fontId="0" fillId="9" borderId="0" xfId="0" applyFill="1"/>
    <xf numFmtId="0" fontId="0" fillId="8" borderId="0" xfId="0" applyFill="1"/>
    <xf numFmtId="165" fontId="0" fillId="0" borderId="0" xfId="3" applyNumberFormat="1" applyFont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1" fillId="0" borderId="0" xfId="2" quotePrefix="1"/>
    <xf numFmtId="9" fontId="0" fillId="0" borderId="0" xfId="3" applyFont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10" fontId="0" fillId="0" borderId="2" xfId="3" applyNumberFormat="1" applyFont="1" applyBorder="1" applyAlignment="1">
      <alignment horizontal="center" vertical="center"/>
    </xf>
    <xf numFmtId="10" fontId="2" fillId="0" borderId="2" xfId="3" applyNumberFormat="1" applyFont="1" applyBorder="1" applyAlignment="1">
      <alignment horizontal="center" vertical="center"/>
    </xf>
    <xf numFmtId="3" fontId="7" fillId="0" borderId="0" xfId="0" applyNumberFormat="1" applyFont="1"/>
    <xf numFmtId="10" fontId="0" fillId="0" borderId="2" xfId="0" applyNumberFormat="1" applyBorder="1" applyAlignment="1">
      <alignment horizontal="center" vertical="center"/>
    </xf>
    <xf numFmtId="10" fontId="6" fillId="0" borderId="2" xfId="3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left"/>
    </xf>
    <xf numFmtId="49" fontId="8" fillId="0" borderId="4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left"/>
    </xf>
    <xf numFmtId="0" fontId="8" fillId="0" borderId="4" xfId="0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8" fillId="0" borderId="5" xfId="0" applyNumberFormat="1" applyFont="1" applyBorder="1" applyAlignment="1">
      <alignment horizontal="left"/>
    </xf>
    <xf numFmtId="3" fontId="5" fillId="0" borderId="4" xfId="0" applyNumberFormat="1" applyFont="1" applyBorder="1" applyAlignment="1">
      <alignment horizontal="center" vertical="center"/>
    </xf>
    <xf numFmtId="3" fontId="8" fillId="0" borderId="5" xfId="0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14" fontId="0" fillId="0" borderId="0" xfId="0" applyNumberFormat="1"/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</cellXfs>
  <cellStyles count="4">
    <cellStyle name="Hyperlink" xfId="1" xr:uid="{00000000-000B-0000-0000-000008000000}"/>
    <cellStyle name="Lien hypertexte" xfId="2" builtinId="8"/>
    <cellStyle name="Normal" xfId="0" builtinId="0"/>
    <cellStyle name="Pourcentage" xfId="3" builtinId="5"/>
  </cellStyles>
  <dxfs count="0"/>
  <tableStyles count="0" defaultTableStyle="TableStyleMedium2" defaultPivotStyle="PivotStyleMedium9"/>
  <colors>
    <mruColors>
      <color rgb="FFB4C6E7"/>
      <color rgb="FFFFB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Évolution de la population de la Ville de Liège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Général!$D$3:$O$3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Général!$D$4:$O$4</c:f>
              <c:numCache>
                <c:formatCode>#,##0</c:formatCode>
                <c:ptCount val="12"/>
                <c:pt idx="0">
                  <c:v>195968</c:v>
                </c:pt>
                <c:pt idx="1">
                  <c:v>196970</c:v>
                </c:pt>
                <c:pt idx="2">
                  <c:v>197885</c:v>
                </c:pt>
                <c:pt idx="3">
                  <c:v>197355</c:v>
                </c:pt>
                <c:pt idx="4">
                  <c:v>197327</c:v>
                </c:pt>
                <c:pt idx="5">
                  <c:v>197217</c:v>
                </c:pt>
                <c:pt idx="6">
                  <c:v>196296</c:v>
                </c:pt>
                <c:pt idx="7">
                  <c:v>195278</c:v>
                </c:pt>
                <c:pt idx="8">
                  <c:v>195346</c:v>
                </c:pt>
                <c:pt idx="9">
                  <c:v>195778</c:v>
                </c:pt>
                <c:pt idx="10">
                  <c:v>197323</c:v>
                </c:pt>
                <c:pt idx="11">
                  <c:v>198044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C6E-4257-8FCF-CC840E477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18503"/>
        <c:axId val="46800904"/>
      </c:lineChart>
      <c:catAx>
        <c:axId val="24618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0904"/>
        <c:crosses val="autoZero"/>
        <c:auto val="1"/>
        <c:lblAlgn val="ctr"/>
        <c:lblOffset val="100"/>
        <c:noMultiLvlLbl val="0"/>
      </c:catAx>
      <c:valAx>
        <c:axId val="46800904"/>
        <c:scaling>
          <c:orientation val="minMax"/>
          <c:max val="200000"/>
          <c:min val="193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24618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Évolution du nombre d'entreprises à Liège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'E&amp;C'!$C$2:$M$2</c:f>
              <c:numCache>
                <c:formatCode>General</c:formatCode>
                <c:ptCount val="11"/>
                <c:pt idx="0">
                  <c:v>2010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'E&amp;C'!$C$3:$M$3</c:f>
              <c:numCache>
                <c:formatCode>#,##0</c:formatCode>
                <c:ptCount val="11"/>
                <c:pt idx="0">
                  <c:v>9918</c:v>
                </c:pt>
                <c:pt idx="1">
                  <c:v>10968</c:v>
                </c:pt>
                <c:pt idx="2">
                  <c:v>11142</c:v>
                </c:pt>
                <c:pt idx="3">
                  <c:v>11561</c:v>
                </c:pt>
                <c:pt idx="4">
                  <c:v>11751</c:v>
                </c:pt>
                <c:pt idx="5">
                  <c:v>11959</c:v>
                </c:pt>
                <c:pt idx="6">
                  <c:v>12088</c:v>
                </c:pt>
                <c:pt idx="7">
                  <c:v>12407</c:v>
                </c:pt>
                <c:pt idx="8">
                  <c:v>12951</c:v>
                </c:pt>
                <c:pt idx="9">
                  <c:v>12928</c:v>
                </c:pt>
                <c:pt idx="10">
                  <c:v>13127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0-4ED2-8322-0644430B8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337072"/>
        <c:axId val="749337792"/>
      </c:lineChart>
      <c:catAx>
        <c:axId val="74933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9337792"/>
        <c:crosses val="autoZero"/>
        <c:auto val="1"/>
        <c:lblAlgn val="ctr"/>
        <c:lblOffset val="100"/>
        <c:noMultiLvlLbl val="0"/>
      </c:catAx>
      <c:valAx>
        <c:axId val="749337792"/>
        <c:scaling>
          <c:orientation val="minMax"/>
          <c:min val="8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74933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95250</xdr:rowOff>
    </xdr:from>
    <xdr:to>
      <xdr:col>11</xdr:col>
      <xdr:colOff>28575</xdr:colOff>
      <xdr:row>24</xdr:row>
      <xdr:rowOff>171450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DFEB1E2-D5A3-733D-AD00-578EAEA8A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9525</xdr:rowOff>
    </xdr:from>
    <xdr:to>
      <xdr:col>12</xdr:col>
      <xdr:colOff>742950</xdr:colOff>
      <xdr:row>22</xdr:row>
      <xdr:rowOff>85725</xdr:rowOff>
    </xdr:to>
    <xdr:graphicFrame macro="">
      <xdr:nvGraphicFramePr>
        <xdr:cNvPr id="5" name="Graphique 1">
          <a:extLst>
            <a:ext uri="{FF2B5EF4-FFF2-40B4-BE49-F238E27FC236}">
              <a16:creationId xmlns:a16="http://schemas.microsoft.com/office/drawing/2014/main" id="{D8EC6CE9-81F1-D4B6-FFBE-5500C2B59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alstat.iweps.be/walstat-catalogue.php?niveau_agre=Q&amp;theme_id=1&amp;indicateur_id=9201000&amp;sel_niveau_catalogue=T&amp;ordre=1" TargetMode="External"/><Relationship Id="rId1" Type="http://schemas.openxmlformats.org/officeDocument/2006/relationships/hyperlink" Target="https://www.ibz.rrn.fgov.be/fr/citoyen/registre-national-et-population/population/statistiques-de-population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bestat.statbel.fgov.be/bestat/crosstable.xhtml?view=c979cbdd-c671-421d-b368-0bc2b89ef7e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owt.tourismewallonie.be/telechargement/lie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8"/>
  <sheetViews>
    <sheetView showGridLines="0" workbookViewId="0">
      <selection activeCell="B20" sqref="B20"/>
    </sheetView>
  </sheetViews>
  <sheetFormatPr baseColWidth="10" defaultColWidth="9.140625" defaultRowHeight="15" x14ac:dyDescent="0.25"/>
  <cols>
    <col min="2" max="2" width="17.28515625" bestFit="1" customWidth="1"/>
    <col min="8" max="8" width="9.5703125" bestFit="1" customWidth="1"/>
  </cols>
  <sheetData>
    <row r="3" spans="2:8" x14ac:dyDescent="0.25">
      <c r="B3" s="70" t="s">
        <v>0</v>
      </c>
      <c r="C3" s="70"/>
      <c r="D3" s="70"/>
      <c r="E3" s="70"/>
      <c r="F3" s="70"/>
      <c r="G3" s="70"/>
      <c r="H3" s="70"/>
    </row>
    <row r="4" spans="2:8" x14ac:dyDescent="0.25">
      <c r="B4" s="68" t="s">
        <v>1</v>
      </c>
      <c r="C4" s="68"/>
      <c r="D4" s="68"/>
      <c r="E4" s="68"/>
      <c r="F4" s="68"/>
      <c r="G4" s="68"/>
      <c r="H4" s="17" t="s">
        <v>2</v>
      </c>
    </row>
    <row r="5" spans="2:8" x14ac:dyDescent="0.25">
      <c r="B5" s="68" t="s">
        <v>3</v>
      </c>
      <c r="C5" s="68"/>
      <c r="D5" s="68"/>
      <c r="E5" s="68"/>
      <c r="F5" s="68"/>
      <c r="G5" s="68"/>
      <c r="H5" s="17" t="s">
        <v>2</v>
      </c>
    </row>
    <row r="6" spans="2:8" x14ac:dyDescent="0.25">
      <c r="B6" s="68"/>
      <c r="C6" s="68"/>
      <c r="D6" s="68"/>
      <c r="E6" s="68"/>
      <c r="F6" s="68"/>
      <c r="G6" s="68"/>
    </row>
    <row r="7" spans="2:8" x14ac:dyDescent="0.25">
      <c r="B7" s="68"/>
      <c r="C7" s="68"/>
      <c r="D7" s="68"/>
      <c r="E7" s="68"/>
      <c r="F7" s="68"/>
      <c r="G7" s="68"/>
    </row>
    <row r="8" spans="2:8" x14ac:dyDescent="0.25">
      <c r="B8" s="68"/>
      <c r="C8" s="68"/>
      <c r="D8" s="68"/>
      <c r="E8" s="68"/>
      <c r="F8" s="68"/>
      <c r="G8" s="68"/>
    </row>
    <row r="9" spans="2:8" x14ac:dyDescent="0.25">
      <c r="B9" s="68"/>
      <c r="C9" s="68"/>
      <c r="D9" s="68"/>
      <c r="E9" s="68"/>
      <c r="F9" s="68"/>
      <c r="G9" s="68"/>
    </row>
    <row r="10" spans="2:8" x14ac:dyDescent="0.25">
      <c r="B10" s="70" t="s">
        <v>4</v>
      </c>
      <c r="C10" s="70"/>
      <c r="D10" s="70"/>
      <c r="E10" s="70"/>
      <c r="F10" s="70"/>
      <c r="G10" s="70"/>
      <c r="H10" s="70"/>
    </row>
    <row r="11" spans="2:8" x14ac:dyDescent="0.25">
      <c r="B11" s="68" t="s">
        <v>5</v>
      </c>
      <c r="C11" s="68"/>
      <c r="D11" s="68"/>
      <c r="E11" s="68"/>
      <c r="F11" s="68"/>
      <c r="G11" s="68"/>
      <c r="H11" s="4" t="s">
        <v>2</v>
      </c>
    </row>
    <row r="12" spans="2:8" x14ac:dyDescent="0.25">
      <c r="B12" s="69" t="s">
        <v>6</v>
      </c>
      <c r="C12" s="69"/>
      <c r="D12" s="69"/>
      <c r="E12" s="69"/>
      <c r="F12" s="69"/>
      <c r="G12" s="69"/>
      <c r="H12" s="45" t="s">
        <v>2</v>
      </c>
    </row>
    <row r="17" spans="2:8" x14ac:dyDescent="0.25">
      <c r="B17" s="67" t="s">
        <v>7</v>
      </c>
      <c r="C17" s="67"/>
      <c r="D17" s="67"/>
      <c r="E17" s="67"/>
      <c r="F17" s="67"/>
      <c r="G17" s="67"/>
      <c r="H17" s="67"/>
    </row>
    <row r="18" spans="2:8" x14ac:dyDescent="0.25">
      <c r="B18" s="68" t="s">
        <v>8</v>
      </c>
      <c r="C18" s="68"/>
      <c r="D18" s="68"/>
      <c r="E18" s="68"/>
      <c r="F18" s="68"/>
      <c r="G18" s="68"/>
      <c r="H18" s="17" t="s">
        <v>2</v>
      </c>
    </row>
  </sheetData>
  <mergeCells count="12">
    <mergeCell ref="B9:G9"/>
    <mergeCell ref="B3:H3"/>
    <mergeCell ref="B4:G4"/>
    <mergeCell ref="B5:G5"/>
    <mergeCell ref="B6:G6"/>
    <mergeCell ref="B7:G7"/>
    <mergeCell ref="B8:G8"/>
    <mergeCell ref="B17:H17"/>
    <mergeCell ref="B18:G18"/>
    <mergeCell ref="B12:G12"/>
    <mergeCell ref="B10:H10"/>
    <mergeCell ref="B11:G11"/>
  </mergeCells>
  <hyperlinks>
    <hyperlink ref="H4" location="Général!A13" display="Cliquez ici" xr:uid="{F3448ADF-C74F-43EA-A574-EDDF71C48749}"/>
    <hyperlink ref="H5" location="Général!A34" display="Cliquez ici" xr:uid="{B94E7D85-6A20-4F3B-90CC-996F7116F90D}"/>
    <hyperlink ref="H11" location="'E&amp;C'!A8" display="Cliquez ici" xr:uid="{E3461F8E-21D9-443C-9E37-07CC4504218D}"/>
    <hyperlink ref="H12" location="'E&amp;C'!A38" display="Cliquez ici" xr:uid="{9FF27985-E368-45AF-93AA-BEA35A6999C4}"/>
    <hyperlink ref="H18" location="Educ!A11" display="Cliquez ici" xr:uid="{A25F4899-68A0-448C-B63B-8F094F3197CF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97958-8E65-435E-9EF3-0DD420F0AFFC}">
  <dimension ref="A1:O118"/>
  <sheetViews>
    <sheetView showGridLines="0" workbookViewId="0">
      <selection activeCell="B9" sqref="B9"/>
    </sheetView>
  </sheetViews>
  <sheetFormatPr baseColWidth="10" defaultColWidth="9.140625" defaultRowHeight="15" outlineLevelRow="1" x14ac:dyDescent="0.25"/>
  <cols>
    <col min="1" max="1" width="34.140625" bestFit="1" customWidth="1"/>
    <col min="2" max="2" width="12.42578125" bestFit="1" customWidth="1"/>
    <col min="12" max="12" width="9.5703125" bestFit="1" customWidth="1"/>
    <col min="13" max="13" width="9.7109375" bestFit="1" customWidth="1"/>
    <col min="14" max="15" width="9.5703125" bestFit="1" customWidth="1"/>
  </cols>
  <sheetData>
    <row r="1" spans="1:15" x14ac:dyDescent="0.25">
      <c r="A1" s="71" t="s">
        <v>1</v>
      </c>
      <c r="B1" s="71"/>
      <c r="C1" s="71"/>
      <c r="D1" s="71"/>
    </row>
    <row r="3" spans="1:15" x14ac:dyDescent="0.25">
      <c r="A3" s="5" t="s">
        <v>9</v>
      </c>
      <c r="B3" s="6">
        <v>2005</v>
      </c>
      <c r="C3" s="6">
        <v>2010</v>
      </c>
      <c r="D3" s="6">
        <v>2015</v>
      </c>
      <c r="E3" s="6">
        <v>2016</v>
      </c>
      <c r="F3" s="6">
        <v>2017</v>
      </c>
      <c r="G3" s="6">
        <v>2018</v>
      </c>
      <c r="H3" s="6">
        <v>2019</v>
      </c>
      <c r="I3" s="6">
        <v>2020</v>
      </c>
      <c r="J3" s="6">
        <v>2021</v>
      </c>
      <c r="K3" s="6">
        <v>2022</v>
      </c>
      <c r="L3" s="6">
        <v>2023</v>
      </c>
      <c r="M3" s="6">
        <v>2024</v>
      </c>
      <c r="N3" s="6">
        <v>2025</v>
      </c>
      <c r="O3" s="25">
        <v>2026</v>
      </c>
    </row>
    <row r="4" spans="1:15" x14ac:dyDescent="0.25">
      <c r="A4" s="26" t="s">
        <v>10</v>
      </c>
      <c r="B4" s="7">
        <f>Back_général!B33</f>
        <v>185574</v>
      </c>
      <c r="C4" s="7">
        <f>Back_général!C33</f>
        <v>192504</v>
      </c>
      <c r="D4" s="7">
        <f>Back_général!D33</f>
        <v>195968</v>
      </c>
      <c r="E4" s="7">
        <f>Back_général!E33</f>
        <v>196970</v>
      </c>
      <c r="F4" s="7">
        <f>Back_général!F33</f>
        <v>197885</v>
      </c>
      <c r="G4" s="7">
        <f>Back_général!G33</f>
        <v>197355</v>
      </c>
      <c r="H4" s="7">
        <f>Back_général!H33</f>
        <v>197327</v>
      </c>
      <c r="I4" s="7">
        <f>Back_général!I33</f>
        <v>197217</v>
      </c>
      <c r="J4" s="7">
        <f>Back_général!J33</f>
        <v>196296</v>
      </c>
      <c r="K4" s="7">
        <f>Back_général!K33</f>
        <v>195278</v>
      </c>
      <c r="L4" s="7">
        <f>Back_général!L33</f>
        <v>195346</v>
      </c>
      <c r="M4" s="7">
        <f>Back_général!M33</f>
        <v>195778</v>
      </c>
      <c r="N4" s="7">
        <f>Back_général!N33</f>
        <v>197323</v>
      </c>
      <c r="O4" s="7">
        <f>Back_général!O33</f>
        <v>198044</v>
      </c>
    </row>
    <row r="5" spans="1:15" x14ac:dyDescent="0.25">
      <c r="A5" s="5" t="s">
        <v>11</v>
      </c>
      <c r="B5" s="8">
        <f>Back_général!B35</f>
        <v>473403</v>
      </c>
      <c r="C5" s="8">
        <f>Back_général!C35</f>
        <v>485243</v>
      </c>
      <c r="D5" s="8">
        <f>Back_général!D35</f>
        <v>496475</v>
      </c>
      <c r="E5" s="8">
        <f>Back_général!E35</f>
        <v>498020</v>
      </c>
      <c r="F5" s="8">
        <f>Back_général!F35</f>
        <v>499871</v>
      </c>
      <c r="G5" s="8">
        <f>Back_général!G35</f>
        <v>500543</v>
      </c>
      <c r="H5" s="8">
        <f>Back_général!H35</f>
        <v>500939</v>
      </c>
      <c r="I5" s="8">
        <f>Back_général!I35</f>
        <v>501547</v>
      </c>
      <c r="J5" s="8">
        <f>Back_général!J35</f>
        <v>500039</v>
      </c>
      <c r="K5" s="8">
        <f>Back_général!K35</f>
        <v>500259</v>
      </c>
      <c r="L5" s="8">
        <f>Back_général!L35</f>
        <v>501249</v>
      </c>
      <c r="M5" s="8">
        <f>Back_général!M35</f>
        <v>502989</v>
      </c>
      <c r="N5" s="8">
        <f>Back_général!N35</f>
        <v>505230</v>
      </c>
      <c r="O5" s="8">
        <f>Back_général!O35</f>
        <v>506483</v>
      </c>
    </row>
    <row r="6" spans="1:15" x14ac:dyDescent="0.25">
      <c r="A6" s="5" t="s">
        <v>12</v>
      </c>
      <c r="B6" s="8">
        <f>Back_général!B38</f>
        <v>596581</v>
      </c>
      <c r="C6" s="8">
        <f>Back_général!C38</f>
        <v>611849</v>
      </c>
      <c r="D6" s="8">
        <f>Back_général!D38</f>
        <v>626900</v>
      </c>
      <c r="E6" s="8">
        <f>Back_général!E38</f>
        <v>628818</v>
      </c>
      <c r="F6" s="8">
        <f>Back_général!F38</f>
        <v>630857</v>
      </c>
      <c r="G6" s="8">
        <f>Back_général!G38</f>
        <v>632101</v>
      </c>
      <c r="H6" s="8">
        <f>Back_général!H38</f>
        <v>632488</v>
      </c>
      <c r="I6" s="8">
        <f>Back_général!I38</f>
        <v>633970</v>
      </c>
      <c r="J6" s="8">
        <f>Back_général!J38</f>
        <v>632661</v>
      </c>
      <c r="K6" s="8">
        <f>Back_général!K38</f>
        <v>632947</v>
      </c>
      <c r="L6" s="8">
        <f>Back_général!L38</f>
        <v>634663</v>
      </c>
      <c r="M6" s="8">
        <f>Back_général!M38</f>
        <v>636876</v>
      </c>
      <c r="N6" s="8">
        <f>Back_général!N38</f>
        <v>639513</v>
      </c>
      <c r="O6" s="8">
        <f>Back_général!O38</f>
        <v>640777</v>
      </c>
    </row>
    <row r="9" spans="1:15" x14ac:dyDescent="0.25">
      <c r="A9" t="s">
        <v>13</v>
      </c>
      <c r="B9" s="27" t="s">
        <v>14</v>
      </c>
    </row>
    <row r="10" spans="1:15" x14ac:dyDescent="0.25">
      <c r="A10" t="s">
        <v>15</v>
      </c>
      <c r="B10" s="29">
        <v>46113</v>
      </c>
    </row>
    <row r="28" spans="1:15" x14ac:dyDescent="0.25">
      <c r="A28" s="71" t="s">
        <v>3</v>
      </c>
      <c r="B28" s="71"/>
      <c r="C28" s="71"/>
      <c r="D28" s="71"/>
    </row>
    <row r="29" spans="1:15" x14ac:dyDescent="0.25">
      <c r="A29" t="s">
        <v>16</v>
      </c>
      <c r="B29" s="13">
        <v>68.65067676555158</v>
      </c>
      <c r="C29" t="s">
        <v>17</v>
      </c>
    </row>
    <row r="31" spans="1:15" x14ac:dyDescent="0.25">
      <c r="A31" s="14" t="s">
        <v>18</v>
      </c>
      <c r="B31" s="20">
        <v>2005</v>
      </c>
      <c r="C31" s="15">
        <v>2010</v>
      </c>
      <c r="D31" s="15">
        <v>2015</v>
      </c>
      <c r="E31" s="15">
        <v>2016</v>
      </c>
      <c r="F31" s="15">
        <v>2017</v>
      </c>
      <c r="G31" s="15">
        <v>2018</v>
      </c>
      <c r="H31" s="15">
        <v>2019</v>
      </c>
      <c r="I31" s="15">
        <v>2020</v>
      </c>
      <c r="J31" s="15">
        <v>2021</v>
      </c>
      <c r="K31" s="15">
        <v>2022</v>
      </c>
      <c r="L31" s="15">
        <v>2023</v>
      </c>
      <c r="M31" s="15">
        <v>2024</v>
      </c>
      <c r="N31" s="15">
        <v>2025</v>
      </c>
      <c r="O31" s="15">
        <v>2026</v>
      </c>
    </row>
    <row r="32" spans="1:15" x14ac:dyDescent="0.25">
      <c r="A32" s="14" t="s">
        <v>10</v>
      </c>
      <c r="B32" s="22">
        <v>2674.3</v>
      </c>
      <c r="C32" s="21">
        <v>2774.2</v>
      </c>
      <c r="D32" s="21">
        <v>2824.1</v>
      </c>
      <c r="E32" s="21">
        <v>2838.5</v>
      </c>
      <c r="F32" s="21">
        <v>2851.7</v>
      </c>
      <c r="G32" s="21">
        <v>2878.1</v>
      </c>
      <c r="H32" s="21">
        <v>2874.2</v>
      </c>
      <c r="I32" s="21">
        <v>2872.8</v>
      </c>
      <c r="J32" s="21">
        <v>2859.4</v>
      </c>
      <c r="K32" s="21">
        <v>2844.5</v>
      </c>
      <c r="L32" s="21">
        <f>L4/$B$29</f>
        <v>2845.5072725229597</v>
      </c>
      <c r="M32" s="21">
        <f t="shared" ref="M32:O32" si="0">M4/$B$29</f>
        <v>2851.8</v>
      </c>
      <c r="N32" s="21">
        <f t="shared" si="0"/>
        <v>2874.3052406296929</v>
      </c>
      <c r="O32" s="21">
        <f t="shared" si="0"/>
        <v>2884.8076862568828</v>
      </c>
    </row>
    <row r="33" spans="1:15" x14ac:dyDescent="0.25">
      <c r="A33" s="14" t="s">
        <v>19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9"/>
      <c r="M33" s="19"/>
      <c r="N33" s="19"/>
      <c r="O33" s="19"/>
    </row>
    <row r="34" spans="1:15" outlineLevel="1" x14ac:dyDescent="0.25">
      <c r="A34" s="16" t="s">
        <v>20</v>
      </c>
      <c r="C34" s="21">
        <v>10051.700000000001</v>
      </c>
      <c r="D34" s="21">
        <v>10520.7</v>
      </c>
      <c r="E34" s="21">
        <v>10565.5</v>
      </c>
      <c r="F34" s="21">
        <v>10506.9</v>
      </c>
      <c r="G34" s="21">
        <v>10672.4</v>
      </c>
      <c r="H34" s="21">
        <v>10486.2</v>
      </c>
      <c r="I34" s="21">
        <v>10382.799999999999</v>
      </c>
      <c r="J34" s="21">
        <v>10420.700000000001</v>
      </c>
      <c r="K34" s="21">
        <v>10410.299999999999</v>
      </c>
      <c r="L34" s="21">
        <v>10427.6</v>
      </c>
      <c r="M34" s="21">
        <v>10424.1</v>
      </c>
      <c r="N34" s="16"/>
      <c r="O34" s="16"/>
    </row>
    <row r="35" spans="1:15" outlineLevel="1" x14ac:dyDescent="0.25">
      <c r="A35" s="16" t="s">
        <v>21</v>
      </c>
      <c r="C35" s="21">
        <v>3318.8</v>
      </c>
      <c r="D35" s="21">
        <v>3288.7</v>
      </c>
      <c r="E35" s="21">
        <v>3242.1</v>
      </c>
      <c r="F35" s="21">
        <v>3257.1</v>
      </c>
      <c r="G35" s="21">
        <v>3232.3</v>
      </c>
      <c r="H35" s="21">
        <v>3336.8</v>
      </c>
      <c r="I35" s="21">
        <v>3434.6</v>
      </c>
      <c r="J35" s="21">
        <v>3397.7</v>
      </c>
      <c r="K35" s="21">
        <v>3230.1</v>
      </c>
      <c r="L35" s="21">
        <v>3255.6</v>
      </c>
      <c r="M35" s="21">
        <v>3321.8</v>
      </c>
      <c r="N35" s="16"/>
      <c r="O35" s="16"/>
    </row>
    <row r="36" spans="1:15" outlineLevel="1" x14ac:dyDescent="0.25">
      <c r="A36" s="16" t="s">
        <v>22</v>
      </c>
      <c r="C36" s="21">
        <v>4967.2</v>
      </c>
      <c r="D36" s="21">
        <v>4903.3</v>
      </c>
      <c r="E36" s="21">
        <v>4959</v>
      </c>
      <c r="F36" s="21">
        <v>4983.6000000000004</v>
      </c>
      <c r="G36" s="21">
        <v>4891.8</v>
      </c>
      <c r="H36" s="21">
        <v>4941</v>
      </c>
      <c r="I36" s="21">
        <v>4872.1000000000004</v>
      </c>
      <c r="J36" s="21">
        <v>4908.2</v>
      </c>
      <c r="K36" s="21">
        <v>4909.8</v>
      </c>
      <c r="L36" s="21">
        <v>4837.7</v>
      </c>
      <c r="M36" s="21">
        <v>4898.3999999999996</v>
      </c>
      <c r="N36" s="16"/>
      <c r="O36" s="16"/>
    </row>
    <row r="37" spans="1:15" outlineLevel="1" x14ac:dyDescent="0.25">
      <c r="A37" s="16" t="s">
        <v>23</v>
      </c>
      <c r="C37" s="21">
        <v>2368</v>
      </c>
      <c r="D37" s="21">
        <v>2421.3000000000002</v>
      </c>
      <c r="E37" s="21">
        <v>2407.3000000000002</v>
      </c>
      <c r="F37" s="21">
        <v>2412</v>
      </c>
      <c r="G37" s="21">
        <v>2396.6999999999998</v>
      </c>
      <c r="H37" s="21">
        <v>2380</v>
      </c>
      <c r="I37" s="21">
        <v>2498.6999999999998</v>
      </c>
      <c r="J37" s="21">
        <v>2498.6999999999998</v>
      </c>
      <c r="K37" s="21">
        <v>2554.6999999999998</v>
      </c>
      <c r="L37" s="21">
        <v>2581.3000000000002</v>
      </c>
      <c r="M37" s="21">
        <v>2639.3</v>
      </c>
      <c r="N37" s="16"/>
      <c r="O37" s="16"/>
    </row>
    <row r="38" spans="1:15" outlineLevel="1" x14ac:dyDescent="0.25">
      <c r="A38" s="16" t="s">
        <v>24</v>
      </c>
      <c r="C38" s="21">
        <v>18055.2</v>
      </c>
      <c r="D38" s="21">
        <v>18972.400000000001</v>
      </c>
      <c r="E38" s="21">
        <v>19024.099999999999</v>
      </c>
      <c r="F38" s="21">
        <v>18979.3</v>
      </c>
      <c r="G38" s="21">
        <v>18655.2</v>
      </c>
      <c r="H38" s="21">
        <v>18179.3</v>
      </c>
      <c r="I38" s="21">
        <v>18269</v>
      </c>
      <c r="J38" s="21">
        <v>18069</v>
      </c>
      <c r="K38" s="21">
        <v>17517.2</v>
      </c>
      <c r="L38" s="21">
        <v>17606.900000000001</v>
      </c>
      <c r="M38" s="21">
        <v>17410.3</v>
      </c>
      <c r="N38" s="16"/>
      <c r="O38" s="16"/>
    </row>
    <row r="39" spans="1:15" outlineLevel="1" x14ac:dyDescent="0.25">
      <c r="A39" s="16" t="s">
        <v>25</v>
      </c>
      <c r="C39" s="21">
        <v>5351.5</v>
      </c>
      <c r="D39" s="21">
        <v>5393.9</v>
      </c>
      <c r="E39" s="21">
        <v>5584.8</v>
      </c>
      <c r="F39" s="21">
        <v>5572.7</v>
      </c>
      <c r="G39" s="21">
        <v>5460.6</v>
      </c>
      <c r="H39" s="21">
        <v>5421.2</v>
      </c>
      <c r="I39" s="21">
        <v>5430.3</v>
      </c>
      <c r="J39" s="21">
        <v>5248.5</v>
      </c>
      <c r="K39" s="21">
        <v>5169.7</v>
      </c>
      <c r="L39" s="21">
        <v>5218.2</v>
      </c>
      <c r="M39" s="21">
        <v>5309.1</v>
      </c>
      <c r="N39" s="16"/>
      <c r="O39" s="16"/>
    </row>
    <row r="40" spans="1:15" outlineLevel="1" x14ac:dyDescent="0.25">
      <c r="A40" s="16" t="s">
        <v>26</v>
      </c>
      <c r="C40" s="21">
        <v>8723.5</v>
      </c>
      <c r="D40" s="21">
        <v>9358.7999999999993</v>
      </c>
      <c r="E40" s="21">
        <v>9205.9</v>
      </c>
      <c r="F40" s="21">
        <v>9088.2000000000007</v>
      </c>
      <c r="G40" s="21">
        <v>9088.2000000000007</v>
      </c>
      <c r="H40" s="21">
        <v>8911.7999999999993</v>
      </c>
      <c r="I40" s="21">
        <v>8929.4</v>
      </c>
      <c r="J40" s="21">
        <v>9123.5</v>
      </c>
      <c r="K40" s="21">
        <v>9000</v>
      </c>
      <c r="L40" s="21">
        <v>8900</v>
      </c>
      <c r="M40" s="21">
        <v>8523.5</v>
      </c>
      <c r="N40" s="16"/>
      <c r="O40" s="16"/>
    </row>
    <row r="41" spans="1:15" outlineLevel="1" x14ac:dyDescent="0.25">
      <c r="A41" s="16" t="s">
        <v>27</v>
      </c>
      <c r="C41" s="21">
        <v>4602</v>
      </c>
      <c r="D41" s="21">
        <v>4629.3999999999996</v>
      </c>
      <c r="E41" s="21">
        <v>4654.8999999999996</v>
      </c>
      <c r="F41" s="21">
        <v>4751</v>
      </c>
      <c r="G41" s="21">
        <v>4760.8</v>
      </c>
      <c r="H41" s="21">
        <v>4698</v>
      </c>
      <c r="I41" s="21">
        <v>4745.1000000000004</v>
      </c>
      <c r="J41" s="21">
        <v>4672.5</v>
      </c>
      <c r="K41" s="21">
        <v>4662.7</v>
      </c>
      <c r="L41" s="21">
        <v>4652.8999999999996</v>
      </c>
      <c r="M41" s="21">
        <v>4656.8999999999996</v>
      </c>
      <c r="N41" s="16"/>
      <c r="O41" s="16"/>
    </row>
    <row r="42" spans="1:15" outlineLevel="1" x14ac:dyDescent="0.25">
      <c r="A42" s="16" t="s">
        <v>28</v>
      </c>
      <c r="C42" s="21">
        <v>9090.9</v>
      </c>
      <c r="D42" s="21">
        <v>8878.7999999999993</v>
      </c>
      <c r="E42" s="21">
        <v>8845.5</v>
      </c>
      <c r="F42" s="21">
        <v>8778.7999999999993</v>
      </c>
      <c r="G42" s="21">
        <v>8742.4</v>
      </c>
      <c r="H42" s="21">
        <v>8715.2000000000007</v>
      </c>
      <c r="I42" s="21">
        <v>8715.2000000000007</v>
      </c>
      <c r="J42" s="21">
        <v>8578.7999999999993</v>
      </c>
      <c r="K42" s="21">
        <v>8663.6</v>
      </c>
      <c r="L42" s="21">
        <v>8497</v>
      </c>
      <c r="M42" s="21">
        <v>8481.7999999999993</v>
      </c>
      <c r="N42" s="16"/>
      <c r="O42" s="16"/>
    </row>
    <row r="43" spans="1:15" outlineLevel="1" x14ac:dyDescent="0.25">
      <c r="A43" s="16" t="s">
        <v>29</v>
      </c>
      <c r="C43" s="21">
        <v>10660</v>
      </c>
      <c r="D43" s="21">
        <v>10725</v>
      </c>
      <c r="E43" s="21">
        <v>11050</v>
      </c>
      <c r="F43" s="21">
        <v>11070</v>
      </c>
      <c r="G43" s="21">
        <v>11025</v>
      </c>
      <c r="H43" s="21">
        <v>11175</v>
      </c>
      <c r="I43" s="21">
        <v>11290</v>
      </c>
      <c r="J43" s="21">
        <v>10940</v>
      </c>
      <c r="K43" s="21">
        <v>11010</v>
      </c>
      <c r="L43" s="21">
        <v>11320</v>
      </c>
      <c r="M43" s="21">
        <v>11375</v>
      </c>
      <c r="N43" s="16"/>
      <c r="O43" s="16"/>
    </row>
    <row r="44" spans="1:15" outlineLevel="1" x14ac:dyDescent="0.25">
      <c r="A44" s="16" t="s">
        <v>30</v>
      </c>
      <c r="C44" s="21">
        <v>2822.7</v>
      </c>
      <c r="D44" s="21">
        <v>2925.8</v>
      </c>
      <c r="E44" s="21">
        <v>2893</v>
      </c>
      <c r="F44" s="21">
        <v>2901.6</v>
      </c>
      <c r="G44" s="21">
        <v>2883.6</v>
      </c>
      <c r="H44" s="21">
        <v>2907.8</v>
      </c>
      <c r="I44" s="21">
        <v>2840.6</v>
      </c>
      <c r="J44" s="21">
        <v>2813.3</v>
      </c>
      <c r="K44" s="21">
        <v>2762.5</v>
      </c>
      <c r="L44" s="21">
        <v>2746.9</v>
      </c>
      <c r="M44" s="21">
        <v>2778.9</v>
      </c>
      <c r="N44" s="16"/>
      <c r="O44" s="16"/>
    </row>
    <row r="45" spans="1:15" outlineLevel="1" x14ac:dyDescent="0.25">
      <c r="A45" s="16" t="s">
        <v>31</v>
      </c>
      <c r="C45" s="21">
        <v>2765.5</v>
      </c>
      <c r="D45" s="21">
        <v>2775</v>
      </c>
      <c r="E45" s="21">
        <v>2760.7</v>
      </c>
      <c r="F45" s="21">
        <v>2781</v>
      </c>
      <c r="G45" s="21">
        <v>2769</v>
      </c>
      <c r="H45" s="21">
        <v>2719</v>
      </c>
      <c r="I45" s="21">
        <v>2700</v>
      </c>
      <c r="J45" s="21">
        <v>2697.6</v>
      </c>
      <c r="K45" s="21">
        <v>2270.1999999999998</v>
      </c>
      <c r="L45" s="21">
        <v>2383.3000000000002</v>
      </c>
      <c r="M45" s="21">
        <v>2513.1</v>
      </c>
      <c r="N45" s="16"/>
      <c r="O45" s="16"/>
    </row>
    <row r="46" spans="1:15" outlineLevel="1" x14ac:dyDescent="0.25">
      <c r="A46" s="16" t="s">
        <v>32</v>
      </c>
      <c r="C46" s="21">
        <v>3892</v>
      </c>
      <c r="D46" s="21">
        <v>4069.3</v>
      </c>
      <c r="E46" s="21">
        <v>4045.3</v>
      </c>
      <c r="F46" s="21">
        <v>4020</v>
      </c>
      <c r="G46" s="21">
        <v>4036</v>
      </c>
      <c r="H46" s="21">
        <v>4029.3</v>
      </c>
      <c r="I46" s="21">
        <v>4012</v>
      </c>
      <c r="J46" s="21">
        <v>4072</v>
      </c>
      <c r="K46" s="21">
        <v>4046.7</v>
      </c>
      <c r="L46" s="21">
        <v>4017.3</v>
      </c>
      <c r="M46" s="21">
        <v>4104</v>
      </c>
      <c r="N46" s="16"/>
      <c r="O46" s="16"/>
    </row>
    <row r="47" spans="1:15" outlineLevel="1" x14ac:dyDescent="0.25">
      <c r="A47" s="16" t="s">
        <v>33</v>
      </c>
      <c r="C47" s="21">
        <v>5122.2</v>
      </c>
      <c r="D47" s="21">
        <v>5877.8</v>
      </c>
      <c r="E47" s="21">
        <v>6114.8</v>
      </c>
      <c r="F47" s="21">
        <v>6285.2</v>
      </c>
      <c r="G47" s="21">
        <v>6363</v>
      </c>
      <c r="H47" s="21">
        <v>6259.3</v>
      </c>
      <c r="I47" s="21">
        <v>6451.9</v>
      </c>
      <c r="J47" s="21">
        <v>6448.1</v>
      </c>
      <c r="K47" s="21">
        <v>6363</v>
      </c>
      <c r="L47" s="21">
        <v>6137</v>
      </c>
      <c r="M47" s="21">
        <v>6003.7</v>
      </c>
      <c r="N47" s="16"/>
      <c r="O47" s="16"/>
    </row>
    <row r="48" spans="1:15" outlineLevel="1" x14ac:dyDescent="0.25">
      <c r="A48" s="16" t="s">
        <v>34</v>
      </c>
      <c r="C48" s="21">
        <v>2902.4</v>
      </c>
      <c r="D48" s="21">
        <v>2882.9</v>
      </c>
      <c r="E48" s="21">
        <v>2929.3</v>
      </c>
      <c r="F48" s="21">
        <v>3017.1</v>
      </c>
      <c r="G48" s="21">
        <v>2985.4</v>
      </c>
      <c r="H48" s="21">
        <v>3034.1</v>
      </c>
      <c r="I48" s="21">
        <v>3009.8</v>
      </c>
      <c r="J48" s="21">
        <v>3053.7</v>
      </c>
      <c r="K48" s="21">
        <v>3007.3</v>
      </c>
      <c r="L48" s="21">
        <v>3009.8</v>
      </c>
      <c r="M48" s="21">
        <v>2948.8</v>
      </c>
      <c r="N48" s="16"/>
      <c r="O48" s="16"/>
    </row>
    <row r="49" spans="1:15" outlineLevel="1" x14ac:dyDescent="0.25">
      <c r="A49" s="16" t="s">
        <v>35</v>
      </c>
      <c r="C49" s="21">
        <v>3412.8</v>
      </c>
      <c r="D49" s="21">
        <v>3418.1</v>
      </c>
      <c r="E49" s="21">
        <v>3479.8</v>
      </c>
      <c r="F49" s="21">
        <v>3441.5</v>
      </c>
      <c r="G49" s="21">
        <v>3439.4</v>
      </c>
      <c r="H49" s="21">
        <v>3452.1</v>
      </c>
      <c r="I49" s="21">
        <v>3448.9</v>
      </c>
      <c r="J49" s="21">
        <v>3424.5</v>
      </c>
      <c r="K49" s="21">
        <v>3380.9</v>
      </c>
      <c r="L49" s="21">
        <v>3376.6</v>
      </c>
      <c r="M49" s="21">
        <v>3310.6</v>
      </c>
      <c r="N49" s="16"/>
      <c r="O49" s="16"/>
    </row>
    <row r="50" spans="1:15" outlineLevel="1" x14ac:dyDescent="0.25">
      <c r="A50" s="16" t="s">
        <v>36</v>
      </c>
      <c r="C50" s="21">
        <v>5391.7</v>
      </c>
      <c r="D50" s="21">
        <v>5663.3</v>
      </c>
      <c r="E50" s="21">
        <v>5685</v>
      </c>
      <c r="F50" s="21">
        <v>5755</v>
      </c>
      <c r="G50" s="21">
        <v>5696.7</v>
      </c>
      <c r="H50" s="21">
        <v>5853.3</v>
      </c>
      <c r="I50" s="21">
        <v>5780</v>
      </c>
      <c r="J50" s="21">
        <v>5761.7</v>
      </c>
      <c r="K50" s="21">
        <v>5730</v>
      </c>
      <c r="L50" s="21">
        <v>5691.7</v>
      </c>
      <c r="M50" s="21">
        <v>5776.7</v>
      </c>
      <c r="N50" s="16"/>
      <c r="O50" s="16"/>
    </row>
    <row r="51" spans="1:15" outlineLevel="1" x14ac:dyDescent="0.25">
      <c r="A51" s="16" t="s">
        <v>37</v>
      </c>
      <c r="C51" s="21">
        <v>6487.1</v>
      </c>
      <c r="D51" s="21">
        <v>6622.6</v>
      </c>
      <c r="E51" s="21">
        <v>6664.5</v>
      </c>
      <c r="F51" s="21">
        <v>6777.4</v>
      </c>
      <c r="G51" s="21">
        <v>6671</v>
      </c>
      <c r="H51" s="21">
        <v>6671</v>
      </c>
      <c r="I51" s="21">
        <v>6767.7</v>
      </c>
      <c r="J51" s="21">
        <v>6674.2</v>
      </c>
      <c r="K51" s="21">
        <v>6658.1</v>
      </c>
      <c r="L51" s="21">
        <v>6590.3</v>
      </c>
      <c r="M51" s="21">
        <v>6567.7</v>
      </c>
      <c r="N51" s="16"/>
      <c r="O51" s="16"/>
    </row>
    <row r="52" spans="1:15" outlineLevel="1" x14ac:dyDescent="0.25">
      <c r="A52" s="16" t="s">
        <v>38</v>
      </c>
      <c r="C52" s="21">
        <v>2311.8000000000002</v>
      </c>
      <c r="D52" s="21">
        <v>2472.1</v>
      </c>
      <c r="E52" s="21">
        <v>2444.1</v>
      </c>
      <c r="F52" s="21">
        <v>2507.4</v>
      </c>
      <c r="G52" s="21">
        <v>2491.1999999999998</v>
      </c>
      <c r="H52" s="21">
        <v>2464.6999999999998</v>
      </c>
      <c r="I52" s="21">
        <v>2561.8000000000002</v>
      </c>
      <c r="J52" s="21">
        <v>2486.8000000000002</v>
      </c>
      <c r="K52" s="21">
        <v>2508.8000000000002</v>
      </c>
      <c r="L52" s="21">
        <v>2536.8000000000002</v>
      </c>
      <c r="M52" s="21">
        <v>2523.5</v>
      </c>
      <c r="N52" s="16"/>
      <c r="O52" s="16"/>
    </row>
    <row r="53" spans="1:15" outlineLevel="1" x14ac:dyDescent="0.25">
      <c r="A53" s="16" t="s">
        <v>39</v>
      </c>
      <c r="C53" s="21">
        <v>7202.7</v>
      </c>
      <c r="D53" s="21">
        <v>7443.2</v>
      </c>
      <c r="E53" s="21">
        <v>7602.7</v>
      </c>
      <c r="F53" s="21">
        <v>7635.1</v>
      </c>
      <c r="G53" s="21">
        <v>7535.1</v>
      </c>
      <c r="H53" s="21">
        <v>7413.5</v>
      </c>
      <c r="I53" s="21">
        <v>7259.5</v>
      </c>
      <c r="J53" s="21">
        <v>7000</v>
      </c>
      <c r="K53" s="21">
        <v>7232.4</v>
      </c>
      <c r="L53" s="21">
        <v>7208.1</v>
      </c>
      <c r="M53" s="21">
        <v>6935.1</v>
      </c>
      <c r="N53" s="16"/>
      <c r="O53" s="16"/>
    </row>
    <row r="54" spans="1:15" outlineLevel="1" x14ac:dyDescent="0.25">
      <c r="A54" s="16" t="s">
        <v>40</v>
      </c>
      <c r="C54" s="21">
        <v>783.1</v>
      </c>
      <c r="D54" s="21">
        <v>816.9</v>
      </c>
      <c r="E54" s="21">
        <v>817.3</v>
      </c>
      <c r="F54" s="21">
        <v>821.9</v>
      </c>
      <c r="G54" s="21">
        <v>825.9</v>
      </c>
      <c r="H54" s="21">
        <v>849.8</v>
      </c>
      <c r="I54" s="21">
        <v>864.1</v>
      </c>
      <c r="J54" s="21">
        <v>909.6</v>
      </c>
      <c r="K54" s="21">
        <v>906.6</v>
      </c>
      <c r="L54" s="21">
        <v>915.9</v>
      </c>
      <c r="M54" s="21">
        <v>909.3</v>
      </c>
      <c r="N54" s="16"/>
      <c r="O54" s="16"/>
    </row>
    <row r="55" spans="1:15" outlineLevel="1" x14ac:dyDescent="0.25">
      <c r="A55" s="16" t="s">
        <v>41</v>
      </c>
      <c r="C55" s="21">
        <v>10441.200000000001</v>
      </c>
      <c r="D55" s="21">
        <v>10964.7</v>
      </c>
      <c r="E55" s="21">
        <v>11152.9</v>
      </c>
      <c r="F55" s="21">
        <v>11876.5</v>
      </c>
      <c r="G55" s="21">
        <v>12423.5</v>
      </c>
      <c r="H55" s="21">
        <v>12911.8</v>
      </c>
      <c r="I55" s="21">
        <v>13052.9</v>
      </c>
      <c r="J55" s="21">
        <v>13194.1</v>
      </c>
      <c r="K55" s="21">
        <v>12264.7</v>
      </c>
      <c r="L55" s="21">
        <v>12435.3</v>
      </c>
      <c r="M55" s="21">
        <v>12588.2</v>
      </c>
      <c r="N55" s="16"/>
      <c r="O55" s="16"/>
    </row>
    <row r="56" spans="1:15" outlineLevel="1" x14ac:dyDescent="0.25">
      <c r="A56" s="16" t="s">
        <v>42</v>
      </c>
      <c r="C56" s="21">
        <v>1222.5999999999999</v>
      </c>
      <c r="D56" s="21">
        <v>1222.5999999999999</v>
      </c>
      <c r="E56" s="21">
        <v>1216.0999999999999</v>
      </c>
      <c r="F56" s="21">
        <v>1208.0999999999999</v>
      </c>
      <c r="G56" s="21">
        <v>1217.7</v>
      </c>
      <c r="H56" s="21">
        <v>1229</v>
      </c>
      <c r="I56" s="21">
        <v>1266.0999999999999</v>
      </c>
      <c r="J56" s="21">
        <v>1271</v>
      </c>
      <c r="K56" s="21">
        <v>1283.9000000000001</v>
      </c>
      <c r="L56" s="21">
        <v>1262.9000000000001</v>
      </c>
      <c r="M56" s="21">
        <v>1287.0999999999999</v>
      </c>
      <c r="N56" s="16"/>
      <c r="O56" s="16"/>
    </row>
    <row r="57" spans="1:15" outlineLevel="1" x14ac:dyDescent="0.25">
      <c r="A57" s="16" t="s">
        <v>43</v>
      </c>
      <c r="C57" s="21">
        <v>5265.6</v>
      </c>
      <c r="D57" s="21">
        <v>5150</v>
      </c>
      <c r="E57" s="21">
        <v>5018.8</v>
      </c>
      <c r="F57" s="21">
        <v>5006.3</v>
      </c>
      <c r="G57" s="21">
        <v>4859.3999999999996</v>
      </c>
      <c r="H57" s="21">
        <v>4784.3999999999996</v>
      </c>
      <c r="I57" s="21">
        <v>4746.8999999999996</v>
      </c>
      <c r="J57" s="21">
        <v>4803.1000000000004</v>
      </c>
      <c r="K57" s="21">
        <v>4831.3</v>
      </c>
      <c r="L57" s="21">
        <v>4721.8999999999996</v>
      </c>
      <c r="M57" s="21">
        <v>4840.6000000000004</v>
      </c>
      <c r="N57" s="16"/>
      <c r="O57" s="16"/>
    </row>
    <row r="58" spans="1:15" outlineLevel="1" x14ac:dyDescent="0.25">
      <c r="A58" s="16" t="s">
        <v>44</v>
      </c>
      <c r="C58" s="21">
        <v>6797.1</v>
      </c>
      <c r="D58" s="21">
        <v>7080</v>
      </c>
      <c r="E58" s="21">
        <v>7040</v>
      </c>
      <c r="F58" s="21">
        <v>7020</v>
      </c>
      <c r="G58" s="21">
        <v>7117.1</v>
      </c>
      <c r="H58" s="21">
        <v>7042.9</v>
      </c>
      <c r="I58" s="21">
        <v>6908.6</v>
      </c>
      <c r="J58" s="21">
        <v>6748.6</v>
      </c>
      <c r="K58" s="21">
        <v>6628.6</v>
      </c>
      <c r="L58" s="21">
        <v>6808.6</v>
      </c>
      <c r="M58" s="21">
        <v>6914.3</v>
      </c>
      <c r="N58" s="16"/>
      <c r="O58" s="16"/>
    </row>
    <row r="59" spans="1:15" outlineLevel="1" x14ac:dyDescent="0.25">
      <c r="A59" s="16" t="s">
        <v>45</v>
      </c>
      <c r="C59" s="21">
        <v>1844.8</v>
      </c>
      <c r="D59" s="21">
        <v>1943.3</v>
      </c>
      <c r="E59" s="21">
        <v>1985.1</v>
      </c>
      <c r="F59" s="21">
        <v>2040.3</v>
      </c>
      <c r="G59" s="21">
        <v>2058.1999999999998</v>
      </c>
      <c r="H59" s="21">
        <v>2022.4</v>
      </c>
      <c r="I59" s="21">
        <v>1958.2</v>
      </c>
      <c r="J59" s="21">
        <v>1992.5</v>
      </c>
      <c r="K59" s="21">
        <v>2023.9</v>
      </c>
      <c r="L59" s="21">
        <v>1979.1</v>
      </c>
      <c r="M59" s="21">
        <v>1925.4</v>
      </c>
      <c r="N59" s="16"/>
      <c r="O59" s="16"/>
    </row>
    <row r="60" spans="1:15" outlineLevel="1" x14ac:dyDescent="0.25">
      <c r="A60" s="16" t="s">
        <v>46</v>
      </c>
      <c r="C60" s="21">
        <v>6968.6</v>
      </c>
      <c r="D60" s="21">
        <v>6731.4</v>
      </c>
      <c r="E60" s="21">
        <v>6774.5</v>
      </c>
      <c r="F60" s="21">
        <v>7056.9</v>
      </c>
      <c r="G60" s="21">
        <v>6998</v>
      </c>
      <c r="H60" s="21">
        <v>6960.8</v>
      </c>
      <c r="I60" s="21">
        <v>6917.6</v>
      </c>
      <c r="J60" s="21">
        <v>6911.8</v>
      </c>
      <c r="K60" s="21">
        <v>6892.2</v>
      </c>
      <c r="L60" s="21">
        <v>6978.4</v>
      </c>
      <c r="M60" s="21">
        <v>6845.1</v>
      </c>
      <c r="N60" s="16"/>
      <c r="O60" s="16"/>
    </row>
    <row r="61" spans="1:15" outlineLevel="1" x14ac:dyDescent="0.25">
      <c r="A61" s="16" t="s">
        <v>47</v>
      </c>
      <c r="C61" s="21">
        <v>1256.9000000000001</v>
      </c>
      <c r="D61" s="21">
        <v>1281</v>
      </c>
      <c r="E61" s="21">
        <v>1274.0999999999999</v>
      </c>
      <c r="F61" s="21">
        <v>1291.4000000000001</v>
      </c>
      <c r="G61" s="21">
        <v>1217.2</v>
      </c>
      <c r="H61" s="21">
        <v>1237.9000000000001</v>
      </c>
      <c r="I61" s="21">
        <v>1243.0999999999999</v>
      </c>
      <c r="J61" s="21">
        <v>1212.0999999999999</v>
      </c>
      <c r="K61" s="21">
        <v>1137.9000000000001</v>
      </c>
      <c r="L61" s="21">
        <v>1094.8</v>
      </c>
      <c r="M61" s="21">
        <v>1210.3</v>
      </c>
      <c r="N61" s="16"/>
      <c r="O61" s="16"/>
    </row>
    <row r="62" spans="1:15" outlineLevel="1" x14ac:dyDescent="0.25">
      <c r="A62" s="16" t="s">
        <v>48</v>
      </c>
      <c r="C62" s="21">
        <v>3542.3</v>
      </c>
      <c r="D62" s="21">
        <v>3700</v>
      </c>
      <c r="E62" s="21">
        <v>3730.8</v>
      </c>
      <c r="F62" s="21">
        <v>3707.7</v>
      </c>
      <c r="G62" s="21">
        <v>3634.6</v>
      </c>
      <c r="H62" s="21">
        <v>3553.8</v>
      </c>
      <c r="I62" s="21">
        <v>3669.2</v>
      </c>
      <c r="J62" s="21">
        <v>3692.3</v>
      </c>
      <c r="K62" s="21">
        <v>3707.7</v>
      </c>
      <c r="L62" s="21">
        <v>3650</v>
      </c>
      <c r="M62" s="21">
        <v>3511.5</v>
      </c>
      <c r="N62" s="16"/>
      <c r="O62" s="16"/>
    </row>
    <row r="63" spans="1:15" outlineLevel="1" x14ac:dyDescent="0.25">
      <c r="A63" s="16" t="s">
        <v>49</v>
      </c>
      <c r="C63" s="21">
        <v>1830.9</v>
      </c>
      <c r="D63" s="21">
        <v>2020.6</v>
      </c>
      <c r="E63" s="21">
        <v>2010.3</v>
      </c>
      <c r="F63" s="21">
        <v>2055.6999999999998</v>
      </c>
      <c r="G63" s="21">
        <v>2034</v>
      </c>
      <c r="H63" s="21">
        <v>2042.3</v>
      </c>
      <c r="I63" s="21">
        <v>2180.4</v>
      </c>
      <c r="J63" s="21">
        <v>2166</v>
      </c>
      <c r="K63" s="21">
        <v>2176.3000000000002</v>
      </c>
      <c r="L63" s="21">
        <v>2090.6999999999998</v>
      </c>
      <c r="M63" s="21">
        <v>2034</v>
      </c>
      <c r="N63" s="16"/>
      <c r="O63" s="16"/>
    </row>
    <row r="64" spans="1:15" outlineLevel="1" x14ac:dyDescent="0.25">
      <c r="A64" s="16" t="s">
        <v>50</v>
      </c>
      <c r="C64" s="21">
        <v>4458.8</v>
      </c>
      <c r="D64" s="21">
        <v>4562.8999999999996</v>
      </c>
      <c r="E64" s="21">
        <v>4592.8</v>
      </c>
      <c r="F64" s="21">
        <v>4622.7</v>
      </c>
      <c r="G64" s="21">
        <v>4695.8999999999996</v>
      </c>
      <c r="H64" s="21">
        <v>4748.5</v>
      </c>
      <c r="I64" s="21">
        <v>4699</v>
      </c>
      <c r="J64" s="21">
        <v>4681.3999999999996</v>
      </c>
      <c r="K64" s="21">
        <v>4636.1000000000004</v>
      </c>
      <c r="L64" s="21">
        <v>4661.8999999999996</v>
      </c>
      <c r="M64" s="21">
        <v>4674.2</v>
      </c>
      <c r="N64" s="16"/>
      <c r="O64" s="16"/>
    </row>
    <row r="65" spans="1:15" outlineLevel="1" x14ac:dyDescent="0.25">
      <c r="A65" s="16" t="s">
        <v>51</v>
      </c>
      <c r="C65" s="21">
        <v>6433.3</v>
      </c>
      <c r="D65" s="21">
        <v>6461.9</v>
      </c>
      <c r="E65" s="21">
        <v>6542.9</v>
      </c>
      <c r="F65" s="21">
        <v>6528.6</v>
      </c>
      <c r="G65" s="21">
        <v>6585.7</v>
      </c>
      <c r="H65" s="21">
        <v>6500</v>
      </c>
      <c r="I65" s="21">
        <v>6495.2</v>
      </c>
      <c r="J65" s="21">
        <v>6576.2</v>
      </c>
      <c r="K65" s="21">
        <v>6261.9</v>
      </c>
      <c r="L65" s="21">
        <v>6385.7</v>
      </c>
      <c r="M65" s="21">
        <v>6519</v>
      </c>
      <c r="N65" s="16"/>
      <c r="O65" s="16"/>
    </row>
    <row r="66" spans="1:15" outlineLevel="1" x14ac:dyDescent="0.25">
      <c r="A66" s="16" t="s">
        <v>52</v>
      </c>
      <c r="C66" s="21">
        <v>2121.1999999999998</v>
      </c>
      <c r="D66" s="21">
        <v>2078.8000000000002</v>
      </c>
      <c r="E66" s="21">
        <v>2142.4</v>
      </c>
      <c r="F66" s="21">
        <v>2106.1</v>
      </c>
      <c r="G66" s="21">
        <v>2066.6999999999998</v>
      </c>
      <c r="H66" s="21">
        <v>2081.8000000000002</v>
      </c>
      <c r="I66" s="21">
        <v>2003</v>
      </c>
      <c r="J66" s="21">
        <v>2021.2</v>
      </c>
      <c r="K66" s="21">
        <v>2024.2</v>
      </c>
      <c r="L66" s="21">
        <v>2042.4</v>
      </c>
      <c r="M66" s="21">
        <v>1948.5</v>
      </c>
      <c r="N66" s="16"/>
      <c r="O66" s="16"/>
    </row>
    <row r="67" spans="1:15" outlineLevel="1" x14ac:dyDescent="0.25">
      <c r="A67" s="16" t="s">
        <v>53</v>
      </c>
      <c r="C67" s="21">
        <v>6473.3</v>
      </c>
      <c r="D67" s="21">
        <v>6873.3</v>
      </c>
      <c r="E67" s="21">
        <v>6980</v>
      </c>
      <c r="F67" s="21">
        <v>6926.7</v>
      </c>
      <c r="G67" s="21">
        <v>7070</v>
      </c>
      <c r="H67" s="21">
        <v>7080</v>
      </c>
      <c r="I67" s="21">
        <v>7056.7</v>
      </c>
      <c r="J67" s="21">
        <v>6846.7</v>
      </c>
      <c r="K67" s="21">
        <v>6803.3</v>
      </c>
      <c r="L67" s="21">
        <v>6646.7</v>
      </c>
      <c r="M67" s="21">
        <v>6670</v>
      </c>
      <c r="N67" s="16"/>
      <c r="O67" s="16"/>
    </row>
    <row r="68" spans="1:15" outlineLevel="1" x14ac:dyDescent="0.25">
      <c r="A68" s="16" t="s">
        <v>54</v>
      </c>
      <c r="C68" s="21">
        <v>4885.7</v>
      </c>
      <c r="D68" s="21">
        <v>5022.8999999999996</v>
      </c>
      <c r="E68" s="21">
        <v>5051.3999999999996</v>
      </c>
      <c r="F68" s="21">
        <v>5025.7</v>
      </c>
      <c r="G68" s="21">
        <v>4971.3999999999996</v>
      </c>
      <c r="H68" s="21">
        <v>5031.3999999999996</v>
      </c>
      <c r="I68" s="21">
        <v>5005.7</v>
      </c>
      <c r="J68" s="21">
        <v>4900</v>
      </c>
      <c r="K68" s="21">
        <v>5071.3999999999996</v>
      </c>
      <c r="L68" s="21">
        <v>5400</v>
      </c>
      <c r="M68" s="21">
        <v>5297.1</v>
      </c>
      <c r="N68" s="16"/>
      <c r="O68" s="16"/>
    </row>
    <row r="69" spans="1:15" outlineLevel="1" x14ac:dyDescent="0.25">
      <c r="A69" s="16" t="s">
        <v>55</v>
      </c>
      <c r="C69" s="21">
        <v>9635.5</v>
      </c>
      <c r="D69" s="21">
        <v>9335.5</v>
      </c>
      <c r="E69" s="21">
        <v>9522.6</v>
      </c>
      <c r="F69" s="21">
        <v>9625.7999999999993</v>
      </c>
      <c r="G69" s="21">
        <v>9758.1</v>
      </c>
      <c r="H69" s="21">
        <v>9841.9</v>
      </c>
      <c r="I69" s="21">
        <v>9903.2000000000007</v>
      </c>
      <c r="J69" s="21">
        <v>9674.2000000000007</v>
      </c>
      <c r="K69" s="21">
        <v>9651.6</v>
      </c>
      <c r="L69" s="21">
        <v>9412.9</v>
      </c>
      <c r="M69" s="21">
        <v>9577.4</v>
      </c>
      <c r="N69" s="16"/>
      <c r="O69" s="16"/>
    </row>
    <row r="70" spans="1:15" outlineLevel="1" x14ac:dyDescent="0.25">
      <c r="A70" s="16" t="s">
        <v>56</v>
      </c>
      <c r="C70" s="21">
        <v>1570</v>
      </c>
      <c r="D70" s="21">
        <v>1628.1</v>
      </c>
      <c r="E70" s="21">
        <v>1636.3</v>
      </c>
      <c r="F70" s="21">
        <v>1657.5</v>
      </c>
      <c r="G70" s="21">
        <v>1650</v>
      </c>
      <c r="H70" s="21">
        <v>1646.9</v>
      </c>
      <c r="I70" s="21">
        <v>1651.9</v>
      </c>
      <c r="J70" s="21">
        <v>1623.1</v>
      </c>
      <c r="K70" s="21">
        <v>1620</v>
      </c>
      <c r="L70" s="21">
        <v>1637.5</v>
      </c>
      <c r="M70" s="21">
        <v>1650.6</v>
      </c>
      <c r="N70" s="16"/>
      <c r="O70" s="16"/>
    </row>
    <row r="71" spans="1:15" outlineLevel="1" x14ac:dyDescent="0.25">
      <c r="A71" s="16" t="s">
        <v>57</v>
      </c>
      <c r="C71" s="21">
        <v>3148.5</v>
      </c>
      <c r="D71" s="21">
        <v>3333.3</v>
      </c>
      <c r="E71" s="21">
        <v>3311.1</v>
      </c>
      <c r="F71" s="21">
        <v>3303</v>
      </c>
      <c r="G71" s="21">
        <v>3316.2</v>
      </c>
      <c r="H71" s="21">
        <v>3308.1</v>
      </c>
      <c r="I71" s="21">
        <v>3266.7</v>
      </c>
      <c r="J71" s="21">
        <v>3276.8</v>
      </c>
      <c r="K71" s="21">
        <v>3285.9</v>
      </c>
      <c r="L71" s="21">
        <v>3304</v>
      </c>
      <c r="M71" s="21">
        <v>3282.8</v>
      </c>
      <c r="N71" s="16"/>
      <c r="O71" s="16"/>
    </row>
    <row r="72" spans="1:15" outlineLevel="1" x14ac:dyDescent="0.25">
      <c r="A72" s="16" t="s">
        <v>58</v>
      </c>
      <c r="C72" s="21">
        <v>1760.3</v>
      </c>
      <c r="D72" s="21">
        <v>1757.4</v>
      </c>
      <c r="E72" s="21">
        <v>1728.7</v>
      </c>
      <c r="F72" s="21">
        <v>1724.3</v>
      </c>
      <c r="G72" s="21">
        <v>1726.5</v>
      </c>
      <c r="H72" s="21">
        <v>1746.3</v>
      </c>
      <c r="I72" s="21">
        <v>1766.2</v>
      </c>
      <c r="J72" s="21">
        <v>1769.9</v>
      </c>
      <c r="K72" s="21">
        <v>1650</v>
      </c>
      <c r="L72" s="21">
        <v>1642.6</v>
      </c>
      <c r="M72" s="21">
        <v>1646.3</v>
      </c>
      <c r="N72" s="16"/>
      <c r="O72" s="16"/>
    </row>
    <row r="73" spans="1:15" outlineLevel="1" x14ac:dyDescent="0.25">
      <c r="A73" s="16" t="s">
        <v>59</v>
      </c>
      <c r="C73" s="21">
        <v>6942.3</v>
      </c>
      <c r="D73" s="21">
        <v>7211.5</v>
      </c>
      <c r="E73" s="21">
        <v>7611.5</v>
      </c>
      <c r="F73" s="21">
        <v>7526.9</v>
      </c>
      <c r="G73" s="21">
        <v>7492.3</v>
      </c>
      <c r="H73" s="21">
        <v>6973.1</v>
      </c>
      <c r="I73" s="21">
        <v>6811.5</v>
      </c>
      <c r="J73" s="21">
        <v>6876.9</v>
      </c>
      <c r="K73" s="21">
        <v>6661.5</v>
      </c>
      <c r="L73" s="21">
        <v>6726.9</v>
      </c>
      <c r="M73" s="21">
        <v>6715.4</v>
      </c>
      <c r="N73" s="16"/>
      <c r="O73" s="16"/>
    </row>
    <row r="74" spans="1:15" outlineLevel="1" x14ac:dyDescent="0.25">
      <c r="A74" s="16" t="s">
        <v>60</v>
      </c>
      <c r="C74" s="21">
        <v>5186</v>
      </c>
      <c r="D74" s="21">
        <v>5367.4</v>
      </c>
      <c r="E74" s="21">
        <v>5479.1</v>
      </c>
      <c r="F74" s="21">
        <v>5597.7</v>
      </c>
      <c r="G74" s="21">
        <v>5381.4</v>
      </c>
      <c r="H74" s="21">
        <v>5511.6</v>
      </c>
      <c r="I74" s="21">
        <v>5509.3</v>
      </c>
      <c r="J74" s="21">
        <v>5565.1</v>
      </c>
      <c r="K74" s="21">
        <v>5525.6</v>
      </c>
      <c r="L74" s="21">
        <v>5446.5</v>
      </c>
      <c r="M74" s="21">
        <v>5504.7</v>
      </c>
      <c r="N74" s="16"/>
      <c r="O74" s="16"/>
    </row>
    <row r="75" spans="1:15" outlineLevel="1" x14ac:dyDescent="0.25">
      <c r="A75" s="16" t="s">
        <v>61</v>
      </c>
      <c r="C75" s="21">
        <v>764.6</v>
      </c>
      <c r="D75" s="21">
        <v>764.6</v>
      </c>
      <c r="E75" s="21">
        <v>774.7</v>
      </c>
      <c r="F75" s="21">
        <v>824.2</v>
      </c>
      <c r="G75" s="21">
        <v>837.4</v>
      </c>
      <c r="H75" s="21">
        <v>835.4</v>
      </c>
      <c r="I75" s="21">
        <v>845.5</v>
      </c>
      <c r="J75" s="21">
        <v>886.9</v>
      </c>
      <c r="K75" s="21">
        <v>906.1</v>
      </c>
      <c r="L75" s="21">
        <v>932.3</v>
      </c>
      <c r="M75" s="21">
        <v>1013.1</v>
      </c>
      <c r="N75" s="16"/>
      <c r="O75" s="16"/>
    </row>
    <row r="76" spans="1:15" outlineLevel="1" x14ac:dyDescent="0.25">
      <c r="A76" s="16" t="s">
        <v>62</v>
      </c>
      <c r="C76" s="21">
        <v>5350</v>
      </c>
      <c r="D76" s="21">
        <v>5261.5</v>
      </c>
      <c r="E76" s="21">
        <v>5438.5</v>
      </c>
      <c r="F76" s="21">
        <v>5403.8</v>
      </c>
      <c r="G76" s="21">
        <v>5557.7</v>
      </c>
      <c r="H76" s="21">
        <v>5323.1</v>
      </c>
      <c r="I76" s="21">
        <v>5388.5</v>
      </c>
      <c r="J76" s="21">
        <v>5423.1</v>
      </c>
      <c r="K76" s="21">
        <v>5273.1</v>
      </c>
      <c r="L76" s="21">
        <v>5403.8</v>
      </c>
      <c r="M76" s="21">
        <v>5419.2</v>
      </c>
      <c r="N76" s="16"/>
      <c r="O76" s="16"/>
    </row>
    <row r="77" spans="1:15" outlineLevel="1" x14ac:dyDescent="0.25">
      <c r="A77" s="16" t="s">
        <v>63</v>
      </c>
      <c r="C77" s="21">
        <v>6867.8</v>
      </c>
      <c r="D77" s="21">
        <v>6844.1</v>
      </c>
      <c r="E77" s="21">
        <v>6786.4</v>
      </c>
      <c r="F77" s="21">
        <v>6808.5</v>
      </c>
      <c r="G77" s="21">
        <v>6774.6</v>
      </c>
      <c r="H77" s="21">
        <v>6723.7</v>
      </c>
      <c r="I77" s="21">
        <v>6661</v>
      </c>
      <c r="J77" s="21">
        <v>6672.9</v>
      </c>
      <c r="K77" s="21">
        <v>6700</v>
      </c>
      <c r="L77" s="21">
        <v>6627.1</v>
      </c>
      <c r="M77" s="21">
        <v>6666.1</v>
      </c>
      <c r="N77" s="16"/>
      <c r="O77" s="16"/>
    </row>
    <row r="78" spans="1:15" outlineLevel="1" x14ac:dyDescent="0.25">
      <c r="A78" s="16" t="s">
        <v>64</v>
      </c>
      <c r="C78" s="21">
        <v>3002.7</v>
      </c>
      <c r="D78" s="21">
        <v>2889.2</v>
      </c>
      <c r="E78" s="21">
        <v>2864.9</v>
      </c>
      <c r="F78" s="21">
        <v>2883.8</v>
      </c>
      <c r="G78" s="21">
        <v>2956.8</v>
      </c>
      <c r="H78" s="21">
        <v>2870.3</v>
      </c>
      <c r="I78" s="21">
        <v>2845.9</v>
      </c>
      <c r="J78" s="21">
        <v>2943.2</v>
      </c>
      <c r="K78" s="21">
        <v>2881.1</v>
      </c>
      <c r="L78" s="21">
        <v>2902.7</v>
      </c>
      <c r="M78" s="21">
        <v>2859.5</v>
      </c>
      <c r="N78" s="16"/>
      <c r="O78" s="16"/>
    </row>
    <row r="79" spans="1:15" outlineLevel="1" x14ac:dyDescent="0.25">
      <c r="A79" s="16" t="s">
        <v>65</v>
      </c>
      <c r="C79" s="21">
        <v>6770</v>
      </c>
      <c r="D79" s="21">
        <v>6845</v>
      </c>
      <c r="E79" s="21">
        <v>6930</v>
      </c>
      <c r="F79" s="21">
        <v>6715</v>
      </c>
      <c r="G79" s="21">
        <v>6660</v>
      </c>
      <c r="H79" s="21">
        <v>6665</v>
      </c>
      <c r="I79" s="21">
        <v>6775</v>
      </c>
      <c r="J79" s="21">
        <v>6685</v>
      </c>
      <c r="K79" s="21">
        <v>6750</v>
      </c>
      <c r="L79" s="21">
        <v>6745</v>
      </c>
      <c r="M79" s="21">
        <v>6710</v>
      </c>
      <c r="N79" s="16"/>
      <c r="O79" s="16"/>
    </row>
    <row r="80" spans="1:15" outlineLevel="1" x14ac:dyDescent="0.25">
      <c r="A80" s="16" t="s">
        <v>66</v>
      </c>
      <c r="C80" s="21">
        <v>1135.5999999999999</v>
      </c>
      <c r="D80" s="21">
        <v>1179.5</v>
      </c>
      <c r="E80" s="21">
        <v>1170.5</v>
      </c>
      <c r="F80" s="21">
        <v>1195.5</v>
      </c>
      <c r="G80" s="21">
        <v>1200</v>
      </c>
      <c r="H80" s="21">
        <v>1218.2</v>
      </c>
      <c r="I80" s="21">
        <v>1262.9000000000001</v>
      </c>
      <c r="J80" s="21">
        <v>1269.7</v>
      </c>
      <c r="K80" s="21">
        <v>1265.2</v>
      </c>
      <c r="L80" s="21">
        <v>1292.4000000000001</v>
      </c>
      <c r="M80" s="21">
        <v>1296.2</v>
      </c>
      <c r="N80" s="16"/>
      <c r="O80" s="16"/>
    </row>
    <row r="81" spans="1:15" outlineLevel="1" x14ac:dyDescent="0.25">
      <c r="A81" s="16" t="s">
        <v>67</v>
      </c>
      <c r="C81" s="21">
        <v>4812.1000000000004</v>
      </c>
      <c r="D81" s="21">
        <v>4969.7</v>
      </c>
      <c r="E81" s="21">
        <v>5003</v>
      </c>
      <c r="F81" s="21">
        <v>4960.6000000000004</v>
      </c>
      <c r="G81" s="21">
        <v>4887.8999999999996</v>
      </c>
      <c r="H81" s="21">
        <v>4909.1000000000004</v>
      </c>
      <c r="I81" s="21">
        <v>4927.3</v>
      </c>
      <c r="J81" s="21">
        <v>4900</v>
      </c>
      <c r="K81" s="21">
        <v>4772.7</v>
      </c>
      <c r="L81" s="21">
        <v>4645.5</v>
      </c>
      <c r="M81" s="21">
        <v>4584.8</v>
      </c>
      <c r="N81" s="16"/>
      <c r="O81" s="16"/>
    </row>
    <row r="82" spans="1:15" outlineLevel="1" x14ac:dyDescent="0.25">
      <c r="A82" s="16" t="s">
        <v>68</v>
      </c>
      <c r="C82" s="21">
        <v>8061.3</v>
      </c>
      <c r="D82" s="21">
        <v>8104.8</v>
      </c>
      <c r="E82" s="21">
        <v>8177.4</v>
      </c>
      <c r="F82" s="21">
        <v>8183.9</v>
      </c>
      <c r="G82" s="21">
        <v>8167.7</v>
      </c>
      <c r="H82" s="21">
        <v>8262.9</v>
      </c>
      <c r="I82" s="21">
        <v>7921</v>
      </c>
      <c r="J82" s="21">
        <v>7830.6</v>
      </c>
      <c r="K82" s="21">
        <v>7874.2</v>
      </c>
      <c r="L82" s="21">
        <v>7753.2</v>
      </c>
      <c r="M82" s="21">
        <v>7683.9</v>
      </c>
      <c r="N82" s="16"/>
      <c r="O82" s="16"/>
    </row>
    <row r="83" spans="1:15" outlineLevel="1" x14ac:dyDescent="0.25">
      <c r="A83" s="16" t="s">
        <v>69</v>
      </c>
      <c r="C83" s="21">
        <v>11487.5</v>
      </c>
      <c r="D83" s="21">
        <v>11629.2</v>
      </c>
      <c r="E83" s="21">
        <v>11758.3</v>
      </c>
      <c r="F83" s="21">
        <v>11887.5</v>
      </c>
      <c r="G83" s="21">
        <v>11737.5</v>
      </c>
      <c r="H83" s="21">
        <v>11512.5</v>
      </c>
      <c r="I83" s="21">
        <v>11691.7</v>
      </c>
      <c r="J83" s="21">
        <v>11562.5</v>
      </c>
      <c r="K83" s="21">
        <v>11445.8</v>
      </c>
      <c r="L83" s="21">
        <v>11320.8</v>
      </c>
      <c r="M83" s="21">
        <v>11183.3</v>
      </c>
      <c r="N83" s="16"/>
      <c r="O83" s="16"/>
    </row>
    <row r="84" spans="1:15" outlineLevel="1" x14ac:dyDescent="0.25">
      <c r="A84" s="16" t="s">
        <v>70</v>
      </c>
      <c r="C84" s="21">
        <v>2091.6999999999998</v>
      </c>
      <c r="D84" s="21">
        <v>2137.9</v>
      </c>
      <c r="E84" s="21">
        <v>2112.1</v>
      </c>
      <c r="F84" s="21">
        <v>2119.6999999999998</v>
      </c>
      <c r="G84" s="21">
        <v>2088.6</v>
      </c>
      <c r="H84" s="21">
        <v>2106.8000000000002</v>
      </c>
      <c r="I84" s="21">
        <v>2100.8000000000002</v>
      </c>
      <c r="J84" s="21">
        <v>2108.3000000000002</v>
      </c>
      <c r="K84" s="21">
        <v>2145.5</v>
      </c>
      <c r="L84" s="21">
        <v>2140.1999999999998</v>
      </c>
      <c r="M84" s="21">
        <v>2152.3000000000002</v>
      </c>
      <c r="N84" s="16"/>
      <c r="O84" s="16"/>
    </row>
    <row r="85" spans="1:15" outlineLevel="1" x14ac:dyDescent="0.25">
      <c r="A85" s="16" t="s">
        <v>71</v>
      </c>
      <c r="C85" s="21">
        <v>3406.8</v>
      </c>
      <c r="D85" s="21">
        <v>3403.4</v>
      </c>
      <c r="E85" s="21">
        <v>3452.5</v>
      </c>
      <c r="F85" s="21">
        <v>3533.9</v>
      </c>
      <c r="G85" s="21">
        <v>3501.7</v>
      </c>
      <c r="H85" s="21">
        <v>3466.1</v>
      </c>
      <c r="I85" s="21">
        <v>3486.4</v>
      </c>
      <c r="J85" s="21">
        <v>3515.3</v>
      </c>
      <c r="K85" s="21">
        <v>3610.2</v>
      </c>
      <c r="L85" s="21">
        <v>3676.3</v>
      </c>
      <c r="M85" s="21">
        <v>3689.8</v>
      </c>
      <c r="N85" s="16"/>
      <c r="O85" s="16"/>
    </row>
    <row r="86" spans="1:15" outlineLevel="1" x14ac:dyDescent="0.25">
      <c r="A86" s="16" t="s">
        <v>72</v>
      </c>
      <c r="C86" s="21">
        <v>6904.3</v>
      </c>
      <c r="D86" s="21">
        <v>6995.7</v>
      </c>
      <c r="E86" s="21">
        <v>6971</v>
      </c>
      <c r="F86" s="21">
        <v>6873.9</v>
      </c>
      <c r="G86" s="21">
        <v>6852.2</v>
      </c>
      <c r="H86" s="21">
        <v>6914.5</v>
      </c>
      <c r="I86" s="21">
        <v>6788.4</v>
      </c>
      <c r="J86" s="21">
        <v>6733.3</v>
      </c>
      <c r="K86" s="21">
        <v>6659.4</v>
      </c>
      <c r="L86" s="21">
        <v>6668.1</v>
      </c>
      <c r="M86" s="21">
        <v>6747.8</v>
      </c>
      <c r="N86" s="16"/>
      <c r="O86" s="16"/>
    </row>
    <row r="87" spans="1:15" outlineLevel="1" x14ac:dyDescent="0.25">
      <c r="A87" s="16" t="s">
        <v>73</v>
      </c>
      <c r="C87" s="21">
        <v>14234.3</v>
      </c>
      <c r="D87" s="21">
        <v>14337.1</v>
      </c>
      <c r="E87" s="21">
        <v>14477.1</v>
      </c>
      <c r="F87" s="21">
        <v>14197.1</v>
      </c>
      <c r="G87" s="21">
        <v>14157.1</v>
      </c>
      <c r="H87" s="21">
        <v>14088.6</v>
      </c>
      <c r="I87" s="21">
        <v>14042.9</v>
      </c>
      <c r="J87" s="21">
        <v>13842.9</v>
      </c>
      <c r="K87" s="21">
        <v>13694.3</v>
      </c>
      <c r="L87" s="21">
        <v>13562.9</v>
      </c>
      <c r="M87" s="21">
        <v>13554.3</v>
      </c>
      <c r="N87" s="16"/>
      <c r="O87" s="16"/>
    </row>
    <row r="88" spans="1:15" outlineLevel="1" x14ac:dyDescent="0.25">
      <c r="A88" s="16" t="s">
        <v>74</v>
      </c>
      <c r="C88" s="21">
        <v>5990.7</v>
      </c>
      <c r="D88" s="21">
        <v>6072.1</v>
      </c>
      <c r="E88" s="21">
        <v>6046.5</v>
      </c>
      <c r="F88" s="21">
        <v>6088.4</v>
      </c>
      <c r="G88" s="21">
        <v>5960.5</v>
      </c>
      <c r="H88" s="21">
        <v>5858.1</v>
      </c>
      <c r="I88" s="21">
        <v>5918.6</v>
      </c>
      <c r="J88" s="21">
        <v>5902.3</v>
      </c>
      <c r="K88" s="21">
        <v>5986</v>
      </c>
      <c r="L88" s="21">
        <v>5841.9</v>
      </c>
      <c r="M88" s="21">
        <v>5804.7</v>
      </c>
      <c r="N88" s="16"/>
      <c r="O88" s="16"/>
    </row>
    <row r="89" spans="1:15" outlineLevel="1" x14ac:dyDescent="0.25">
      <c r="A89" s="16" t="s">
        <v>75</v>
      </c>
      <c r="C89" s="21">
        <v>1867.4</v>
      </c>
      <c r="D89" s="21">
        <v>1832.6</v>
      </c>
      <c r="E89" s="21">
        <v>1765.1</v>
      </c>
      <c r="F89" s="21">
        <v>1711.6</v>
      </c>
      <c r="G89" s="21">
        <v>1697.7</v>
      </c>
      <c r="H89" s="21">
        <v>1753.5</v>
      </c>
      <c r="I89" s="21">
        <v>1804.7</v>
      </c>
      <c r="J89" s="21">
        <v>1716.3</v>
      </c>
      <c r="K89" s="21">
        <v>1744.2</v>
      </c>
      <c r="L89" s="21">
        <v>1818.6</v>
      </c>
      <c r="M89" s="21">
        <v>1834.9</v>
      </c>
      <c r="N89" s="16"/>
      <c r="O89" s="16"/>
    </row>
    <row r="90" spans="1:15" outlineLevel="1" x14ac:dyDescent="0.25">
      <c r="A90" s="16" t="s">
        <v>76</v>
      </c>
      <c r="C90" s="21">
        <v>4882.2</v>
      </c>
      <c r="D90" s="21">
        <v>4963.3</v>
      </c>
      <c r="E90" s="21">
        <v>5052.2</v>
      </c>
      <c r="F90" s="21">
        <v>5061.1000000000004</v>
      </c>
      <c r="G90" s="21">
        <v>5106.7</v>
      </c>
      <c r="H90" s="21">
        <v>5165.6000000000004</v>
      </c>
      <c r="I90" s="21">
        <v>5121.1000000000004</v>
      </c>
      <c r="J90" s="21">
        <v>5158.8999999999996</v>
      </c>
      <c r="K90" s="21">
        <v>5205.6000000000004</v>
      </c>
      <c r="L90" s="21">
        <v>5204.3999999999996</v>
      </c>
      <c r="M90" s="21">
        <v>5178.8999999999996</v>
      </c>
      <c r="N90" s="16"/>
      <c r="O90" s="16"/>
    </row>
    <row r="91" spans="1:15" outlineLevel="1" x14ac:dyDescent="0.25">
      <c r="A91" s="16" t="s">
        <v>77</v>
      </c>
      <c r="C91" s="21">
        <v>7262.5</v>
      </c>
      <c r="D91" s="21">
        <v>7272.9</v>
      </c>
      <c r="E91" s="21">
        <v>7164.6</v>
      </c>
      <c r="F91" s="21">
        <v>7283.3</v>
      </c>
      <c r="G91" s="21">
        <v>7222.9</v>
      </c>
      <c r="H91" s="21">
        <v>7252.1</v>
      </c>
      <c r="I91" s="21">
        <v>7064.6</v>
      </c>
      <c r="J91" s="21">
        <v>6916.7</v>
      </c>
      <c r="K91" s="21">
        <v>6931.3</v>
      </c>
      <c r="L91" s="21">
        <v>6941.7</v>
      </c>
      <c r="M91" s="21">
        <v>7000</v>
      </c>
      <c r="N91" s="16"/>
      <c r="O91" s="16"/>
    </row>
    <row r="92" spans="1:15" outlineLevel="1" x14ac:dyDescent="0.25">
      <c r="A92" s="16" t="s">
        <v>78</v>
      </c>
      <c r="C92" s="21">
        <v>837.6</v>
      </c>
      <c r="D92" s="21">
        <v>904.3</v>
      </c>
      <c r="E92" s="21">
        <v>897.4</v>
      </c>
      <c r="F92" s="21">
        <v>898.3</v>
      </c>
      <c r="G92" s="21">
        <v>874.4</v>
      </c>
      <c r="H92" s="21">
        <v>893.2</v>
      </c>
      <c r="I92" s="21">
        <v>922.2</v>
      </c>
      <c r="J92" s="21">
        <v>917.9</v>
      </c>
      <c r="K92" s="21">
        <v>908.5</v>
      </c>
      <c r="L92" s="21">
        <v>929.1</v>
      </c>
      <c r="M92" s="21">
        <v>913.7</v>
      </c>
      <c r="N92" s="16"/>
      <c r="O92" s="16"/>
    </row>
    <row r="93" spans="1:15" outlineLevel="1" x14ac:dyDescent="0.25">
      <c r="A93" s="16" t="s">
        <v>79</v>
      </c>
      <c r="C93" s="21">
        <v>1232.9000000000001</v>
      </c>
      <c r="D93" s="21">
        <v>1304.2</v>
      </c>
      <c r="E93" s="21">
        <v>1318.9</v>
      </c>
      <c r="F93" s="21">
        <v>1309.0999999999999</v>
      </c>
      <c r="G93" s="21">
        <v>1335.7</v>
      </c>
      <c r="H93" s="21">
        <v>1339.2</v>
      </c>
      <c r="I93" s="21">
        <v>1304.9000000000001</v>
      </c>
      <c r="J93" s="21">
        <v>1272.7</v>
      </c>
      <c r="K93" s="21">
        <v>1287.4000000000001</v>
      </c>
      <c r="L93" s="21">
        <v>1303.5</v>
      </c>
      <c r="M93" s="21">
        <v>1283.9000000000001</v>
      </c>
      <c r="N93" s="16"/>
      <c r="O93" s="16"/>
    </row>
    <row r="94" spans="1:15" outlineLevel="1" x14ac:dyDescent="0.25">
      <c r="A94" s="16" t="s">
        <v>80</v>
      </c>
      <c r="C94" s="21">
        <v>1527.7</v>
      </c>
      <c r="D94" s="21">
        <v>1609.5</v>
      </c>
      <c r="E94" s="21">
        <v>1632.8</v>
      </c>
      <c r="F94" s="21">
        <v>1660.6</v>
      </c>
      <c r="G94" s="21">
        <v>1681</v>
      </c>
      <c r="H94" s="21">
        <v>1677.4</v>
      </c>
      <c r="I94" s="21">
        <v>1675.9</v>
      </c>
      <c r="J94" s="21">
        <v>1668.6</v>
      </c>
      <c r="K94" s="21">
        <v>1724.8</v>
      </c>
      <c r="L94" s="21">
        <v>1748.9</v>
      </c>
      <c r="M94" s="21">
        <v>1801.5</v>
      </c>
      <c r="N94" s="16"/>
      <c r="O94" s="16"/>
    </row>
    <row r="95" spans="1:15" outlineLevel="1" x14ac:dyDescent="0.25">
      <c r="A95" s="16" t="s">
        <v>81</v>
      </c>
      <c r="C95" s="21">
        <v>1814.8</v>
      </c>
      <c r="D95" s="21">
        <v>1955.7</v>
      </c>
      <c r="E95" s="21">
        <v>1979.5</v>
      </c>
      <c r="F95" s="21">
        <v>1992.6</v>
      </c>
      <c r="G95" s="21">
        <v>1967.2</v>
      </c>
      <c r="H95" s="21">
        <v>2029.5</v>
      </c>
      <c r="I95" s="21">
        <v>2036.1</v>
      </c>
      <c r="J95" s="21">
        <v>2062.3000000000002</v>
      </c>
      <c r="K95" s="21">
        <v>2106.6</v>
      </c>
      <c r="L95" s="21">
        <v>2090.1999999999998</v>
      </c>
      <c r="M95" s="21">
        <v>2105.6999999999998</v>
      </c>
      <c r="N95" s="16"/>
      <c r="O95" s="16"/>
    </row>
    <row r="96" spans="1:15" outlineLevel="1" x14ac:dyDescent="0.25">
      <c r="A96" s="16" t="s">
        <v>82</v>
      </c>
      <c r="C96" s="21">
        <v>1269.2</v>
      </c>
      <c r="D96" s="21">
        <v>1349.1</v>
      </c>
      <c r="E96" s="21">
        <v>1362.7</v>
      </c>
      <c r="F96" s="21">
        <v>1359.8</v>
      </c>
      <c r="G96" s="21">
        <v>1350.3</v>
      </c>
      <c r="H96" s="21">
        <v>1323.1</v>
      </c>
      <c r="I96" s="21">
        <v>1330.8</v>
      </c>
      <c r="J96" s="21">
        <v>1317.8</v>
      </c>
      <c r="K96" s="21">
        <v>1336.1</v>
      </c>
      <c r="L96" s="21">
        <v>1347.3</v>
      </c>
      <c r="M96" s="21">
        <v>1334.3</v>
      </c>
      <c r="N96" s="16"/>
      <c r="O96" s="16"/>
    </row>
    <row r="97" spans="1:15" outlineLevel="1" x14ac:dyDescent="0.25">
      <c r="A97" s="16" t="s">
        <v>83</v>
      </c>
      <c r="C97" s="21">
        <v>3459.8</v>
      </c>
      <c r="D97" s="21">
        <v>3459.8</v>
      </c>
      <c r="E97" s="21">
        <v>3477</v>
      </c>
      <c r="F97" s="21">
        <v>3416.1</v>
      </c>
      <c r="G97" s="21">
        <v>3497.7</v>
      </c>
      <c r="H97" s="21">
        <v>3420.7</v>
      </c>
      <c r="I97" s="21">
        <v>3465.5</v>
      </c>
      <c r="J97" s="21">
        <v>3393.1</v>
      </c>
      <c r="K97" s="21">
        <v>3355.2</v>
      </c>
      <c r="L97" s="21">
        <v>3400</v>
      </c>
      <c r="M97" s="21">
        <v>3364.4</v>
      </c>
      <c r="N97" s="16"/>
      <c r="O97" s="16"/>
    </row>
    <row r="98" spans="1:15" outlineLevel="1" x14ac:dyDescent="0.25">
      <c r="A98" s="16" t="s">
        <v>84</v>
      </c>
      <c r="C98" s="21">
        <v>4014.3</v>
      </c>
      <c r="D98" s="21">
        <v>4093.4</v>
      </c>
      <c r="E98" s="21">
        <v>4124.2</v>
      </c>
      <c r="F98" s="21">
        <v>4207.7</v>
      </c>
      <c r="G98" s="21">
        <v>4164.8</v>
      </c>
      <c r="H98" s="21">
        <v>4175.8</v>
      </c>
      <c r="I98" s="21">
        <v>4219.8</v>
      </c>
      <c r="J98" s="21">
        <v>4252.7</v>
      </c>
      <c r="K98" s="21">
        <v>4147.3</v>
      </c>
      <c r="L98" s="21">
        <v>4168.1000000000004</v>
      </c>
      <c r="M98" s="21">
        <v>4142.8999999999996</v>
      </c>
      <c r="N98" s="16"/>
      <c r="O98" s="16"/>
    </row>
    <row r="99" spans="1:15" outlineLevel="1" x14ac:dyDescent="0.25">
      <c r="A99" s="16" t="s">
        <v>85</v>
      </c>
      <c r="C99" s="21">
        <v>6734.5</v>
      </c>
      <c r="D99" s="21">
        <v>6544.8</v>
      </c>
      <c r="E99" s="21">
        <v>6551.7</v>
      </c>
      <c r="F99" s="21">
        <v>6424.1</v>
      </c>
      <c r="G99" s="21">
        <v>6462.1</v>
      </c>
      <c r="H99" s="21">
        <v>6503.4</v>
      </c>
      <c r="I99" s="21">
        <v>6482.8</v>
      </c>
      <c r="J99" s="21">
        <v>6331</v>
      </c>
      <c r="K99" s="21">
        <v>6479.3</v>
      </c>
      <c r="L99" s="21">
        <v>6279.3</v>
      </c>
      <c r="M99" s="21">
        <v>6462.1</v>
      </c>
      <c r="N99" s="16"/>
      <c r="O99" s="16"/>
    </row>
    <row r="100" spans="1:15" outlineLevel="1" x14ac:dyDescent="0.25">
      <c r="A100" s="16" t="s">
        <v>86</v>
      </c>
      <c r="C100" s="21">
        <v>7554.3</v>
      </c>
      <c r="D100" s="21">
        <v>7640</v>
      </c>
      <c r="E100" s="21">
        <v>7577.1</v>
      </c>
      <c r="F100" s="21">
        <v>7571.4</v>
      </c>
      <c r="G100" s="21">
        <v>7451.4</v>
      </c>
      <c r="H100" s="21">
        <v>7522.9</v>
      </c>
      <c r="I100" s="21">
        <v>7291.4</v>
      </c>
      <c r="J100" s="21">
        <v>6985.7</v>
      </c>
      <c r="K100" s="21">
        <v>7011.4</v>
      </c>
      <c r="L100" s="21">
        <v>7040</v>
      </c>
      <c r="M100" s="21">
        <v>7202.9</v>
      </c>
      <c r="N100" s="16"/>
      <c r="O100" s="16"/>
    </row>
    <row r="101" spans="1:15" outlineLevel="1" x14ac:dyDescent="0.25">
      <c r="A101" s="16" t="s">
        <v>87</v>
      </c>
      <c r="C101" s="21">
        <v>7895.7</v>
      </c>
      <c r="D101" s="21">
        <v>7901.4</v>
      </c>
      <c r="E101" s="21">
        <v>7790</v>
      </c>
      <c r="F101" s="21">
        <v>7880</v>
      </c>
      <c r="G101" s="21">
        <v>7801.4</v>
      </c>
      <c r="H101" s="21">
        <v>7747.1</v>
      </c>
      <c r="I101" s="21">
        <v>7590</v>
      </c>
      <c r="J101" s="21">
        <v>7527.1</v>
      </c>
      <c r="K101" s="21">
        <v>7727.1</v>
      </c>
      <c r="L101" s="21">
        <v>7700</v>
      </c>
      <c r="M101" s="21">
        <v>7662.9</v>
      </c>
      <c r="N101" s="16"/>
      <c r="O101" s="16"/>
    </row>
    <row r="102" spans="1:15" outlineLevel="1" x14ac:dyDescent="0.25">
      <c r="A102" s="16" t="s">
        <v>88</v>
      </c>
      <c r="C102" s="21">
        <v>2005</v>
      </c>
      <c r="D102" s="21">
        <v>2090</v>
      </c>
      <c r="E102" s="21">
        <v>2081</v>
      </c>
      <c r="F102" s="21">
        <v>2047</v>
      </c>
      <c r="G102" s="21">
        <v>2053</v>
      </c>
      <c r="H102" s="21">
        <v>1997</v>
      </c>
      <c r="I102" s="21">
        <v>2047</v>
      </c>
      <c r="J102" s="21">
        <v>2017</v>
      </c>
      <c r="K102" s="21">
        <v>1996</v>
      </c>
      <c r="L102" s="21">
        <v>2015</v>
      </c>
      <c r="M102" s="21">
        <v>1981</v>
      </c>
      <c r="N102" s="16"/>
      <c r="O102" s="16"/>
    </row>
    <row r="103" spans="1:15" outlineLevel="1" x14ac:dyDescent="0.25">
      <c r="A103" s="16" t="s">
        <v>89</v>
      </c>
      <c r="C103" s="21">
        <v>10100</v>
      </c>
      <c r="D103" s="21">
        <v>9816.1</v>
      </c>
      <c r="E103" s="21">
        <v>9880.6</v>
      </c>
      <c r="F103" s="21">
        <v>10129</v>
      </c>
      <c r="G103" s="21">
        <v>10000</v>
      </c>
      <c r="H103" s="21">
        <v>9722.6</v>
      </c>
      <c r="I103" s="21">
        <v>9661.2999999999993</v>
      </c>
      <c r="J103" s="21">
        <v>9519.4</v>
      </c>
      <c r="K103" s="21">
        <v>9532.2999999999993</v>
      </c>
      <c r="L103" s="21">
        <v>9690.2999999999993</v>
      </c>
      <c r="M103" s="21">
        <v>9667.7000000000007</v>
      </c>
      <c r="N103" s="16"/>
      <c r="O103" s="16"/>
    </row>
    <row r="104" spans="1:15" outlineLevel="1" x14ac:dyDescent="0.25">
      <c r="A104" s="16" t="s">
        <v>90</v>
      </c>
      <c r="C104" s="21">
        <v>233.3</v>
      </c>
      <c r="D104" s="21">
        <v>234.4</v>
      </c>
      <c r="E104" s="21">
        <v>238.5</v>
      </c>
      <c r="F104" s="21">
        <v>243.8</v>
      </c>
      <c r="G104" s="21">
        <v>252.1</v>
      </c>
      <c r="H104" s="21">
        <v>253.6</v>
      </c>
      <c r="I104" s="21">
        <v>261.39999999999998</v>
      </c>
      <c r="J104" s="21">
        <v>259.7</v>
      </c>
      <c r="K104" s="21">
        <v>250.9</v>
      </c>
      <c r="L104" s="21">
        <v>243.3</v>
      </c>
      <c r="M104" s="21">
        <v>256.10000000000002</v>
      </c>
      <c r="N104" s="16"/>
      <c r="O104" s="16"/>
    </row>
    <row r="105" spans="1:15" outlineLevel="1" x14ac:dyDescent="0.25">
      <c r="A105" s="16" t="s">
        <v>91</v>
      </c>
      <c r="C105" s="21">
        <v>1324.8</v>
      </c>
      <c r="D105" s="21">
        <v>1270.9000000000001</v>
      </c>
      <c r="E105" s="21">
        <v>1282.3</v>
      </c>
      <c r="F105" s="21">
        <v>1307.0999999999999</v>
      </c>
      <c r="G105" s="21">
        <v>1287.9000000000001</v>
      </c>
      <c r="H105" s="21">
        <v>1292.2</v>
      </c>
      <c r="I105" s="21">
        <v>1264.5</v>
      </c>
      <c r="J105" s="21">
        <v>1273</v>
      </c>
      <c r="K105" s="21">
        <v>1319.1</v>
      </c>
      <c r="L105" s="21">
        <v>1312.8</v>
      </c>
      <c r="M105" s="21">
        <v>1320.6</v>
      </c>
      <c r="N105" s="16"/>
      <c r="O105" s="16"/>
    </row>
    <row r="106" spans="1:15" outlineLevel="1" x14ac:dyDescent="0.25">
      <c r="A106" s="16" t="s">
        <v>92</v>
      </c>
      <c r="C106" s="21">
        <v>5042.3999999999996</v>
      </c>
      <c r="D106" s="21">
        <v>4893.8999999999996</v>
      </c>
      <c r="E106" s="21">
        <v>4984.8</v>
      </c>
      <c r="F106" s="21">
        <v>5072.7</v>
      </c>
      <c r="G106" s="21">
        <v>5154.5</v>
      </c>
      <c r="H106" s="21">
        <v>5145.5</v>
      </c>
      <c r="I106" s="21">
        <v>5263.6</v>
      </c>
      <c r="J106" s="21">
        <v>5248.5</v>
      </c>
      <c r="K106" s="21">
        <v>5218.2</v>
      </c>
      <c r="L106" s="21">
        <v>5124.2</v>
      </c>
      <c r="M106" s="21">
        <v>5233.3</v>
      </c>
      <c r="N106" s="16"/>
      <c r="O106" s="16"/>
    </row>
    <row r="107" spans="1:15" outlineLevel="1" x14ac:dyDescent="0.25">
      <c r="A107" s="16" t="s">
        <v>93</v>
      </c>
      <c r="C107" s="21">
        <v>2420.9</v>
      </c>
      <c r="D107" s="21">
        <v>2420.9</v>
      </c>
      <c r="E107" s="21">
        <v>2448.8000000000002</v>
      </c>
      <c r="F107" s="21">
        <v>2437.1999999999998</v>
      </c>
      <c r="G107" s="21">
        <v>2355.8000000000002</v>
      </c>
      <c r="H107" s="21">
        <v>2400</v>
      </c>
      <c r="I107" s="21">
        <v>2390.6999999999998</v>
      </c>
      <c r="J107" s="21">
        <v>2376.6999999999998</v>
      </c>
      <c r="K107" s="21">
        <v>2372.1</v>
      </c>
      <c r="L107" s="21">
        <v>2400</v>
      </c>
      <c r="M107" s="21">
        <v>2372.1</v>
      </c>
      <c r="N107" s="16"/>
      <c r="O107" s="16"/>
    </row>
    <row r="108" spans="1:15" outlineLevel="1" x14ac:dyDescent="0.25">
      <c r="A108" s="16" t="s">
        <v>94</v>
      </c>
      <c r="C108" s="21">
        <v>6329.2</v>
      </c>
      <c r="D108" s="21">
        <v>6116.7</v>
      </c>
      <c r="E108" s="21">
        <v>6120.8</v>
      </c>
      <c r="F108" s="21">
        <v>6037.5</v>
      </c>
      <c r="G108" s="21">
        <v>5987.5</v>
      </c>
      <c r="H108" s="21">
        <v>6166.7</v>
      </c>
      <c r="I108" s="21">
        <v>6075</v>
      </c>
      <c r="J108" s="21">
        <v>6079.2</v>
      </c>
      <c r="K108" s="21">
        <v>5941.7</v>
      </c>
      <c r="L108" s="21">
        <v>5870.8</v>
      </c>
      <c r="M108" s="21">
        <v>6025</v>
      </c>
      <c r="N108" s="16"/>
      <c r="O108" s="16"/>
    </row>
    <row r="109" spans="1:15" outlineLevel="1" x14ac:dyDescent="0.25">
      <c r="A109" s="16" t="s">
        <v>95</v>
      </c>
      <c r="C109" s="21">
        <v>1372.3</v>
      </c>
      <c r="D109" s="21">
        <v>1419.7</v>
      </c>
      <c r="E109" s="21">
        <v>1448.4</v>
      </c>
      <c r="F109" s="21">
        <v>1444.1</v>
      </c>
      <c r="G109" s="21">
        <v>1448.8</v>
      </c>
      <c r="H109" s="21">
        <v>1487.8</v>
      </c>
      <c r="I109" s="21">
        <v>1465.3</v>
      </c>
      <c r="J109" s="21">
        <v>1485.9</v>
      </c>
      <c r="K109" s="21">
        <v>1474.6</v>
      </c>
      <c r="L109" s="21">
        <v>1502.8</v>
      </c>
      <c r="M109" s="21">
        <v>1516.9</v>
      </c>
      <c r="N109" s="16"/>
      <c r="O109" s="16"/>
    </row>
    <row r="110" spans="1:15" outlineLevel="1" x14ac:dyDescent="0.25">
      <c r="A110" s="16" t="s">
        <v>96</v>
      </c>
      <c r="C110" s="21">
        <v>4408.8</v>
      </c>
      <c r="D110" s="21">
        <v>4532.3999999999996</v>
      </c>
      <c r="E110" s="21">
        <v>4520.6000000000004</v>
      </c>
      <c r="F110" s="21">
        <v>4461.8</v>
      </c>
      <c r="G110" s="21">
        <v>4520.6000000000004</v>
      </c>
      <c r="H110" s="21">
        <v>4526.5</v>
      </c>
      <c r="I110" s="21">
        <v>4544.1000000000004</v>
      </c>
      <c r="J110" s="21">
        <v>4502.8999999999996</v>
      </c>
      <c r="K110" s="21">
        <v>4411.8</v>
      </c>
      <c r="L110" s="21">
        <v>4452.8999999999996</v>
      </c>
      <c r="M110" s="21">
        <v>4423.5</v>
      </c>
      <c r="N110" s="16"/>
      <c r="O110" s="16"/>
    </row>
    <row r="111" spans="1:15" outlineLevel="1" x14ac:dyDescent="0.25">
      <c r="A111" s="16" t="s">
        <v>97</v>
      </c>
      <c r="C111" s="21">
        <v>1520</v>
      </c>
      <c r="D111" s="21">
        <v>1475</v>
      </c>
      <c r="E111" s="21">
        <v>1482.5</v>
      </c>
      <c r="F111" s="21">
        <v>1475</v>
      </c>
      <c r="G111" s="21">
        <v>1467.5</v>
      </c>
      <c r="H111" s="21">
        <v>1440</v>
      </c>
      <c r="I111" s="21">
        <v>1412.5</v>
      </c>
      <c r="J111" s="21">
        <v>1400</v>
      </c>
      <c r="K111" s="21">
        <v>1700</v>
      </c>
      <c r="L111" s="21">
        <v>1855</v>
      </c>
      <c r="M111" s="21">
        <v>1867.5</v>
      </c>
      <c r="N111" s="16"/>
      <c r="O111" s="16"/>
    </row>
    <row r="112" spans="1:15" outlineLevel="1" x14ac:dyDescent="0.25">
      <c r="A112" s="16" t="s">
        <v>98</v>
      </c>
      <c r="C112" s="21">
        <v>3515.3</v>
      </c>
      <c r="D112" s="21">
        <v>3529.2</v>
      </c>
      <c r="E112" s="21">
        <v>3616.7</v>
      </c>
      <c r="F112" s="21">
        <v>3622.2</v>
      </c>
      <c r="G112" s="21">
        <v>3568.1</v>
      </c>
      <c r="H112" s="21">
        <v>3558.3</v>
      </c>
      <c r="I112" s="21">
        <v>3615.3</v>
      </c>
      <c r="J112" s="21">
        <v>3679.2</v>
      </c>
      <c r="K112" s="21">
        <v>3662.5</v>
      </c>
      <c r="L112" s="21">
        <v>3687.5</v>
      </c>
      <c r="M112" s="21">
        <v>3593.1</v>
      </c>
      <c r="N112" s="16"/>
      <c r="O112" s="16"/>
    </row>
    <row r="113" spans="1:15" outlineLevel="1" x14ac:dyDescent="0.25">
      <c r="A113" s="16" t="s">
        <v>99</v>
      </c>
      <c r="C113" s="21">
        <v>957.4</v>
      </c>
      <c r="D113" s="21">
        <v>1006.2</v>
      </c>
      <c r="E113" s="21">
        <v>1024.8</v>
      </c>
      <c r="F113" s="21">
        <v>1031.8</v>
      </c>
      <c r="G113" s="21">
        <v>1025.2</v>
      </c>
      <c r="H113" s="21">
        <v>1020.2</v>
      </c>
      <c r="I113" s="21">
        <v>1015.3</v>
      </c>
      <c r="J113" s="21">
        <v>1023.6</v>
      </c>
      <c r="K113" s="21">
        <v>1021.9</v>
      </c>
      <c r="L113" s="21">
        <v>1014.9</v>
      </c>
      <c r="M113" s="21">
        <v>1014.5</v>
      </c>
      <c r="N113" s="16"/>
      <c r="O113" s="16"/>
    </row>
    <row r="114" spans="1:15" outlineLevel="1" x14ac:dyDescent="0.25">
      <c r="A114" s="16" t="s">
        <v>100</v>
      </c>
      <c r="C114" s="21">
        <v>3214.7</v>
      </c>
      <c r="D114" s="21">
        <v>2991.2</v>
      </c>
      <c r="E114" s="21">
        <v>3029.4</v>
      </c>
      <c r="F114" s="21">
        <v>3082.4</v>
      </c>
      <c r="G114" s="21">
        <v>3094.1</v>
      </c>
      <c r="H114" s="21">
        <v>3138.2</v>
      </c>
      <c r="I114" s="21">
        <v>3126.5</v>
      </c>
      <c r="J114" s="21">
        <v>3158.8</v>
      </c>
      <c r="K114" s="21">
        <v>3229.4</v>
      </c>
      <c r="L114" s="21">
        <v>3258.8</v>
      </c>
      <c r="M114" s="21">
        <v>3141.2</v>
      </c>
      <c r="N114" s="16"/>
      <c r="O114" s="16"/>
    </row>
    <row r="117" spans="1:15" x14ac:dyDescent="0.25">
      <c r="A117" t="s">
        <v>13</v>
      </c>
      <c r="B117" s="28" t="s">
        <v>101</v>
      </c>
    </row>
    <row r="118" spans="1:15" x14ac:dyDescent="0.25">
      <c r="A118" t="s">
        <v>15</v>
      </c>
      <c r="B118" s="30">
        <v>46113</v>
      </c>
    </row>
  </sheetData>
  <mergeCells count="2">
    <mergeCell ref="A1:D1"/>
    <mergeCell ref="A28:D28"/>
  </mergeCells>
  <hyperlinks>
    <hyperlink ref="B9" r:id="rId1" xr:uid="{F618C3C4-90F1-4063-AFFB-C3F02A788E95}"/>
    <hyperlink ref="B117" r:id="rId2" xr:uid="{4E951C3E-3F79-45AE-A75C-CFD047138A61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254D-3BDB-4B77-A0D3-E24EC0028B44}">
  <dimension ref="A1:O40"/>
  <sheetViews>
    <sheetView workbookViewId="0">
      <selection activeCell="O2" sqref="O2"/>
    </sheetView>
  </sheetViews>
  <sheetFormatPr baseColWidth="10" defaultColWidth="9.140625" defaultRowHeight="15" x14ac:dyDescent="0.25"/>
  <cols>
    <col min="1" max="1" width="22.7109375" bestFit="1" customWidth="1"/>
    <col min="2" max="2" width="9.5703125" bestFit="1" customWidth="1"/>
    <col min="3" max="14" width="9" bestFit="1" customWidth="1"/>
  </cols>
  <sheetData>
    <row r="1" spans="1:15" x14ac:dyDescent="0.25">
      <c r="A1" s="71" t="s">
        <v>1</v>
      </c>
      <c r="B1" s="71"/>
      <c r="C1" s="71"/>
      <c r="D1" s="71"/>
    </row>
    <row r="2" spans="1:15" x14ac:dyDescent="0.25">
      <c r="A2" s="9" t="s">
        <v>102</v>
      </c>
      <c r="B2" s="10">
        <v>2005</v>
      </c>
      <c r="C2" s="10">
        <v>2010</v>
      </c>
      <c r="D2" s="10">
        <v>2015</v>
      </c>
      <c r="E2" s="10">
        <v>2016</v>
      </c>
      <c r="F2" s="10">
        <v>2017</v>
      </c>
      <c r="G2" s="10">
        <v>2018</v>
      </c>
      <c r="H2" s="10">
        <v>2019</v>
      </c>
      <c r="I2" s="10">
        <v>2020</v>
      </c>
      <c r="J2" s="10">
        <v>2021</v>
      </c>
      <c r="K2" s="10">
        <v>2022</v>
      </c>
      <c r="L2" s="10">
        <v>2023</v>
      </c>
      <c r="M2" s="10">
        <v>2024</v>
      </c>
      <c r="N2" s="10">
        <v>2025</v>
      </c>
      <c r="O2" s="2">
        <v>2026</v>
      </c>
    </row>
    <row r="3" spans="1:15" x14ac:dyDescent="0.25">
      <c r="A3" s="35" t="s">
        <v>103</v>
      </c>
      <c r="B3" s="11">
        <v>27350</v>
      </c>
      <c r="C3" s="11">
        <v>27638</v>
      </c>
      <c r="D3" s="11">
        <v>28263</v>
      </c>
      <c r="E3" s="11">
        <v>28159</v>
      </c>
      <c r="F3" s="11">
        <v>28314</v>
      </c>
      <c r="G3" s="11">
        <v>28238</v>
      </c>
      <c r="H3" s="11">
        <v>28373</v>
      </c>
      <c r="I3" s="11">
        <v>28598</v>
      </c>
      <c r="J3" s="11">
        <v>28503</v>
      </c>
      <c r="K3" s="11">
        <v>28625</v>
      </c>
      <c r="L3" s="11">
        <v>28764</v>
      </c>
      <c r="M3" s="11">
        <v>28989</v>
      </c>
      <c r="N3" s="11">
        <v>29110</v>
      </c>
      <c r="O3" s="3">
        <v>29244</v>
      </c>
    </row>
    <row r="4" spans="1:15" x14ac:dyDescent="0.25">
      <c r="A4" s="40" t="s">
        <v>104</v>
      </c>
      <c r="B4" s="11">
        <v>8642</v>
      </c>
      <c r="C4" s="11">
        <v>8888</v>
      </c>
      <c r="D4" s="11">
        <v>9201</v>
      </c>
      <c r="E4" s="11">
        <v>9240</v>
      </c>
      <c r="F4" s="11">
        <v>9259</v>
      </c>
      <c r="G4" s="11">
        <v>9353</v>
      </c>
      <c r="H4" s="11">
        <v>9318</v>
      </c>
      <c r="I4" s="11">
        <v>9243</v>
      </c>
      <c r="J4" s="11">
        <v>9207</v>
      </c>
      <c r="K4" s="11">
        <v>9152</v>
      </c>
      <c r="L4" s="11">
        <v>9231</v>
      </c>
      <c r="M4" s="11">
        <v>9344</v>
      </c>
      <c r="N4" s="11">
        <v>9373</v>
      </c>
      <c r="O4" s="3">
        <v>9373</v>
      </c>
    </row>
    <row r="5" spans="1:15" x14ac:dyDescent="0.25">
      <c r="A5" s="36" t="s">
        <v>105</v>
      </c>
      <c r="B5" s="11">
        <v>8298</v>
      </c>
      <c r="C5" s="11">
        <v>8635</v>
      </c>
      <c r="D5" s="11">
        <v>8986</v>
      </c>
      <c r="E5" s="11">
        <v>8994</v>
      </c>
      <c r="F5" s="11">
        <v>9003</v>
      </c>
      <c r="G5" s="11">
        <v>8986</v>
      </c>
      <c r="H5" s="11">
        <v>8905</v>
      </c>
      <c r="I5" s="11">
        <v>8931</v>
      </c>
      <c r="J5" s="11">
        <v>8942</v>
      </c>
      <c r="K5" s="11">
        <v>8988</v>
      </c>
      <c r="L5" s="11">
        <v>9052</v>
      </c>
      <c r="M5" s="11">
        <v>9028</v>
      </c>
      <c r="N5" s="11">
        <v>9053</v>
      </c>
      <c r="O5" s="3">
        <v>9034</v>
      </c>
    </row>
    <row r="6" spans="1:15" x14ac:dyDescent="0.25">
      <c r="A6" s="35" t="s">
        <v>106</v>
      </c>
      <c r="B6" s="11">
        <v>11661</v>
      </c>
      <c r="C6" s="11">
        <v>11937</v>
      </c>
      <c r="D6" s="11">
        <v>12051</v>
      </c>
      <c r="E6" s="11">
        <v>12096</v>
      </c>
      <c r="F6" s="11">
        <v>12011</v>
      </c>
      <c r="G6" s="11">
        <v>12019</v>
      </c>
      <c r="H6" s="11">
        <v>11929</v>
      </c>
      <c r="I6" s="11">
        <v>11891</v>
      </c>
      <c r="J6" s="11">
        <v>11962</v>
      </c>
      <c r="K6" s="11">
        <v>11948</v>
      </c>
      <c r="L6" s="11">
        <v>11996</v>
      </c>
      <c r="M6" s="11">
        <v>12018</v>
      </c>
      <c r="N6" s="11">
        <v>11977</v>
      </c>
      <c r="O6" s="3">
        <v>11965</v>
      </c>
    </row>
    <row r="7" spans="1:15" x14ac:dyDescent="0.25">
      <c r="A7" s="36" t="s">
        <v>107</v>
      </c>
      <c r="B7" s="11">
        <v>12654</v>
      </c>
      <c r="C7" s="11">
        <v>13135</v>
      </c>
      <c r="D7" s="11">
        <v>13218</v>
      </c>
      <c r="E7" s="11">
        <v>13212</v>
      </c>
      <c r="F7" s="11">
        <v>13212</v>
      </c>
      <c r="G7" s="11">
        <v>13300</v>
      </c>
      <c r="H7" s="11">
        <v>13292</v>
      </c>
      <c r="I7" s="11">
        <v>13387</v>
      </c>
      <c r="J7" s="11">
        <v>13382</v>
      </c>
      <c r="K7" s="11">
        <v>13395</v>
      </c>
      <c r="L7" s="11">
        <v>13440</v>
      </c>
      <c r="M7" s="11">
        <v>13482</v>
      </c>
      <c r="N7" s="11">
        <v>13579</v>
      </c>
      <c r="O7" s="3">
        <v>13608</v>
      </c>
    </row>
    <row r="8" spans="1:15" x14ac:dyDescent="0.25">
      <c r="A8" s="35" t="s">
        <v>108</v>
      </c>
      <c r="B8" s="11">
        <v>20996</v>
      </c>
      <c r="C8" s="11">
        <v>20865</v>
      </c>
      <c r="D8" s="11">
        <v>21001</v>
      </c>
      <c r="E8" s="11">
        <v>20766</v>
      </c>
      <c r="F8" s="11">
        <v>20885</v>
      </c>
      <c r="G8" s="11">
        <v>20935</v>
      </c>
      <c r="H8" s="11">
        <v>20800</v>
      </c>
      <c r="I8" s="11">
        <v>20855</v>
      </c>
      <c r="J8" s="11">
        <v>20807</v>
      </c>
      <c r="K8" s="11">
        <v>20556</v>
      </c>
      <c r="L8" s="11">
        <v>20572</v>
      </c>
      <c r="M8" s="11">
        <v>20600</v>
      </c>
      <c r="N8" s="11">
        <v>20523</v>
      </c>
      <c r="O8" s="3">
        <v>20521</v>
      </c>
    </row>
    <row r="9" spans="1:15" x14ac:dyDescent="0.25">
      <c r="A9" s="36" t="s">
        <v>109</v>
      </c>
      <c r="B9" s="11">
        <v>2737</v>
      </c>
      <c r="C9" s="11">
        <v>2957</v>
      </c>
      <c r="D9" s="11">
        <v>3215</v>
      </c>
      <c r="E9" s="11">
        <v>3254</v>
      </c>
      <c r="F9" s="11">
        <v>3323</v>
      </c>
      <c r="G9" s="11">
        <v>3352</v>
      </c>
      <c r="H9" s="11">
        <v>3412</v>
      </c>
      <c r="I9" s="11">
        <v>3465</v>
      </c>
      <c r="J9" s="11">
        <v>3496</v>
      </c>
      <c r="K9" s="11">
        <v>3517</v>
      </c>
      <c r="L9" s="11">
        <v>3540</v>
      </c>
      <c r="M9" s="11">
        <v>3539</v>
      </c>
      <c r="N9" s="11">
        <v>3573</v>
      </c>
      <c r="O9" s="3">
        <v>3592</v>
      </c>
    </row>
    <row r="10" spans="1:15" x14ac:dyDescent="0.25">
      <c r="A10" s="35" t="s">
        <v>110</v>
      </c>
      <c r="B10" s="11">
        <v>5690</v>
      </c>
      <c r="C10" s="11">
        <v>5774</v>
      </c>
      <c r="D10" s="11">
        <v>5982</v>
      </c>
      <c r="E10" s="11">
        <v>6018</v>
      </c>
      <c r="F10" s="11">
        <v>6050</v>
      </c>
      <c r="G10" s="11">
        <v>6122</v>
      </c>
      <c r="H10" s="11">
        <v>6138</v>
      </c>
      <c r="I10" s="11">
        <v>6209</v>
      </c>
      <c r="J10" s="11">
        <v>6207</v>
      </c>
      <c r="K10" s="11">
        <v>6269</v>
      </c>
      <c r="L10" s="11">
        <v>6310</v>
      </c>
      <c r="M10" s="11">
        <v>6296</v>
      </c>
      <c r="N10" s="11">
        <v>6391</v>
      </c>
      <c r="O10" s="3">
        <v>6326</v>
      </c>
    </row>
    <row r="11" spans="1:15" x14ac:dyDescent="0.25">
      <c r="A11" s="36" t="s">
        <v>111</v>
      </c>
      <c r="B11" s="11">
        <v>13167</v>
      </c>
      <c r="C11" s="11">
        <v>13188</v>
      </c>
      <c r="D11" s="11">
        <v>13094</v>
      </c>
      <c r="E11" s="11">
        <v>13037</v>
      </c>
      <c r="F11" s="11">
        <v>12986</v>
      </c>
      <c r="G11" s="11">
        <v>12889</v>
      </c>
      <c r="H11" s="11">
        <v>12917</v>
      </c>
      <c r="I11" s="11">
        <v>13015</v>
      </c>
      <c r="J11" s="11">
        <v>13018</v>
      </c>
      <c r="K11" s="11">
        <v>12865</v>
      </c>
      <c r="L11" s="11">
        <v>12800</v>
      </c>
      <c r="M11" s="11">
        <v>12827</v>
      </c>
      <c r="N11" s="11">
        <v>12794</v>
      </c>
      <c r="O11" s="3">
        <v>12778</v>
      </c>
    </row>
    <row r="12" spans="1:15" x14ac:dyDescent="0.25">
      <c r="A12" s="36" t="s">
        <v>112</v>
      </c>
      <c r="B12" s="11">
        <v>3028</v>
      </c>
      <c r="C12" s="11">
        <v>3107</v>
      </c>
      <c r="D12" s="11">
        <v>3250</v>
      </c>
      <c r="E12" s="11">
        <v>3254</v>
      </c>
      <c r="F12" s="11">
        <v>3240</v>
      </c>
      <c r="G12" s="11">
        <v>3263</v>
      </c>
      <c r="H12" s="11">
        <v>3233</v>
      </c>
      <c r="I12" s="11">
        <v>3216</v>
      </c>
      <c r="J12" s="11">
        <v>3269</v>
      </c>
      <c r="K12" s="11">
        <v>3327</v>
      </c>
      <c r="L12" s="11">
        <v>3429</v>
      </c>
      <c r="M12" s="11">
        <v>3426</v>
      </c>
      <c r="N12" s="11">
        <v>3399</v>
      </c>
      <c r="O12" s="3">
        <v>3407</v>
      </c>
    </row>
    <row r="13" spans="1:15" x14ac:dyDescent="0.25">
      <c r="A13" s="35" t="s">
        <v>113</v>
      </c>
      <c r="B13" s="11">
        <v>25193</v>
      </c>
      <c r="C13" s="11">
        <v>25016</v>
      </c>
      <c r="D13" s="11">
        <v>26061</v>
      </c>
      <c r="E13" s="11">
        <v>26058</v>
      </c>
      <c r="F13" s="11">
        <v>26166</v>
      </c>
      <c r="G13" s="11">
        <v>26174</v>
      </c>
      <c r="H13" s="11">
        <v>26304</v>
      </c>
      <c r="I13" s="11">
        <v>26389</v>
      </c>
      <c r="J13" s="11">
        <v>26402</v>
      </c>
      <c r="K13" s="11">
        <v>26677</v>
      </c>
      <c r="L13" s="11">
        <v>26850</v>
      </c>
      <c r="M13" s="11">
        <v>27002</v>
      </c>
      <c r="N13" s="11">
        <v>27045</v>
      </c>
      <c r="O13" s="3">
        <v>27158</v>
      </c>
    </row>
    <row r="14" spans="1:15" x14ac:dyDescent="0.25">
      <c r="A14" s="35" t="s">
        <v>114</v>
      </c>
      <c r="B14" s="11">
        <v>15946</v>
      </c>
      <c r="C14" s="11">
        <v>16110</v>
      </c>
      <c r="D14" s="11">
        <v>16485</v>
      </c>
      <c r="E14" s="11">
        <v>16507</v>
      </c>
      <c r="F14" s="11">
        <v>16467</v>
      </c>
      <c r="G14" s="11">
        <v>16495</v>
      </c>
      <c r="H14" s="11">
        <v>16526</v>
      </c>
      <c r="I14" s="11">
        <v>16370</v>
      </c>
      <c r="J14" s="11">
        <v>16214</v>
      </c>
      <c r="K14" s="11">
        <v>16235</v>
      </c>
      <c r="L14" s="11">
        <v>16296</v>
      </c>
      <c r="M14" s="11">
        <v>16380</v>
      </c>
      <c r="N14" s="11">
        <v>16374</v>
      </c>
      <c r="O14" s="3">
        <v>16446</v>
      </c>
    </row>
    <row r="15" spans="1:15" x14ac:dyDescent="0.25">
      <c r="A15" s="35" t="s">
        <v>115</v>
      </c>
      <c r="B15" s="11">
        <v>21859</v>
      </c>
      <c r="C15" s="11">
        <v>21820</v>
      </c>
      <c r="D15" s="11">
        <v>22077</v>
      </c>
      <c r="E15" s="11">
        <v>22145</v>
      </c>
      <c r="F15" s="11">
        <v>22188</v>
      </c>
      <c r="G15" s="11">
        <v>22541</v>
      </c>
      <c r="H15" s="11">
        <v>22660</v>
      </c>
      <c r="I15" s="11">
        <v>22823</v>
      </c>
      <c r="J15" s="11">
        <v>22860</v>
      </c>
      <c r="K15" s="11">
        <v>23037</v>
      </c>
      <c r="L15" s="11">
        <v>23050</v>
      </c>
      <c r="M15" s="11">
        <v>23261</v>
      </c>
      <c r="N15" s="11">
        <v>23416</v>
      </c>
      <c r="O15" s="3">
        <v>23342</v>
      </c>
    </row>
    <row r="16" spans="1:15" x14ac:dyDescent="0.25">
      <c r="A16" s="35" t="s">
        <v>116</v>
      </c>
      <c r="B16" s="11">
        <v>36832</v>
      </c>
      <c r="C16" s="11">
        <v>38219</v>
      </c>
      <c r="D16" s="11">
        <v>39365</v>
      </c>
      <c r="E16" s="11">
        <v>39617</v>
      </c>
      <c r="F16" s="11">
        <v>39744</v>
      </c>
      <c r="G16" s="11">
        <v>39958</v>
      </c>
      <c r="H16" s="11">
        <v>39989</v>
      </c>
      <c r="I16" s="11">
        <v>40190</v>
      </c>
      <c r="J16" s="11">
        <v>40157</v>
      </c>
      <c r="K16" s="11">
        <v>40481</v>
      </c>
      <c r="L16" s="11">
        <v>40666</v>
      </c>
      <c r="M16" s="11">
        <v>40814</v>
      </c>
      <c r="N16" s="11">
        <v>40834</v>
      </c>
      <c r="O16" s="3">
        <v>40849</v>
      </c>
    </row>
    <row r="17" spans="1:15" x14ac:dyDescent="0.25">
      <c r="A17" s="36" t="s">
        <v>117</v>
      </c>
      <c r="B17" s="11">
        <v>8301</v>
      </c>
      <c r="C17" s="11">
        <v>8790</v>
      </c>
      <c r="D17" s="11">
        <v>9217</v>
      </c>
      <c r="E17" s="11">
        <v>9223</v>
      </c>
      <c r="F17" s="11">
        <v>9209</v>
      </c>
      <c r="G17" s="11">
        <v>9288</v>
      </c>
      <c r="H17" s="11">
        <v>9295</v>
      </c>
      <c r="I17" s="11">
        <v>9435</v>
      </c>
      <c r="J17" s="11">
        <v>9463</v>
      </c>
      <c r="K17" s="11">
        <v>9639</v>
      </c>
      <c r="L17" s="11">
        <v>9740</v>
      </c>
      <c r="M17" s="11">
        <v>9733</v>
      </c>
      <c r="N17" s="11">
        <v>9906</v>
      </c>
      <c r="O17" s="3">
        <v>9912</v>
      </c>
    </row>
    <row r="18" spans="1:15" x14ac:dyDescent="0.25">
      <c r="A18" s="12" t="s">
        <v>118</v>
      </c>
      <c r="B18" s="11">
        <v>185574</v>
      </c>
      <c r="C18" s="11">
        <v>192504</v>
      </c>
      <c r="D18" s="11">
        <v>195968</v>
      </c>
      <c r="E18" s="11">
        <v>196970</v>
      </c>
      <c r="F18" s="11">
        <v>197885</v>
      </c>
      <c r="G18" s="11">
        <v>197355</v>
      </c>
      <c r="H18" s="11">
        <v>197327</v>
      </c>
      <c r="I18" s="11">
        <v>197217</v>
      </c>
      <c r="J18" s="11">
        <v>196296</v>
      </c>
      <c r="K18" s="11">
        <v>195278</v>
      </c>
      <c r="L18" s="11">
        <v>195346</v>
      </c>
      <c r="M18" s="11">
        <v>195778</v>
      </c>
      <c r="N18" s="11">
        <v>197323</v>
      </c>
      <c r="O18" s="3">
        <v>198044</v>
      </c>
    </row>
    <row r="19" spans="1:15" x14ac:dyDescent="0.25">
      <c r="A19" s="36" t="s">
        <v>119</v>
      </c>
      <c r="B19" s="11">
        <v>5543</v>
      </c>
      <c r="C19" s="11">
        <v>5687</v>
      </c>
      <c r="D19" s="11">
        <v>5815</v>
      </c>
      <c r="E19" s="11">
        <v>5840</v>
      </c>
      <c r="F19" s="11">
        <v>5821</v>
      </c>
      <c r="G19" s="11">
        <v>5826</v>
      </c>
      <c r="H19" s="11">
        <v>5753</v>
      </c>
      <c r="I19" s="11">
        <v>5758</v>
      </c>
      <c r="J19" s="11">
        <v>5774</v>
      </c>
      <c r="K19" s="11">
        <v>5802</v>
      </c>
      <c r="L19" s="11">
        <v>5796</v>
      </c>
      <c r="M19" s="11">
        <v>5745</v>
      </c>
      <c r="N19" s="11">
        <v>5755</v>
      </c>
      <c r="O19" s="3">
        <v>5736</v>
      </c>
    </row>
    <row r="20" spans="1:15" x14ac:dyDescent="0.25">
      <c r="A20" s="36" t="s">
        <v>120</v>
      </c>
      <c r="B20" s="11">
        <v>9792</v>
      </c>
      <c r="C20" s="11">
        <v>9756</v>
      </c>
      <c r="D20" s="11">
        <v>9968</v>
      </c>
      <c r="E20" s="11">
        <v>9975</v>
      </c>
      <c r="F20" s="11">
        <v>9892</v>
      </c>
      <c r="G20" s="11">
        <v>9934</v>
      </c>
      <c r="H20" s="11">
        <v>9923</v>
      </c>
      <c r="I20" s="11">
        <v>9977</v>
      </c>
      <c r="J20" s="11">
        <v>9938</v>
      </c>
      <c r="K20" s="11">
        <v>10020</v>
      </c>
      <c r="L20" s="11">
        <v>9994</v>
      </c>
      <c r="M20" s="11">
        <v>10010</v>
      </c>
      <c r="N20" s="11">
        <v>9952</v>
      </c>
      <c r="O20" s="3">
        <v>9965</v>
      </c>
    </row>
    <row r="21" spans="1:15" x14ac:dyDescent="0.25">
      <c r="A21" s="36" t="s">
        <v>121</v>
      </c>
      <c r="B21" s="11">
        <v>3793</v>
      </c>
      <c r="C21" s="11">
        <v>3819</v>
      </c>
      <c r="D21" s="11">
        <v>3897</v>
      </c>
      <c r="E21" s="11">
        <v>3954</v>
      </c>
      <c r="F21" s="11">
        <v>3978</v>
      </c>
      <c r="G21" s="11">
        <v>4087</v>
      </c>
      <c r="H21" s="11">
        <v>4080</v>
      </c>
      <c r="I21" s="11">
        <v>4036</v>
      </c>
      <c r="J21" s="11">
        <v>4051</v>
      </c>
      <c r="K21" s="11">
        <v>4068</v>
      </c>
      <c r="L21" s="11">
        <v>4082</v>
      </c>
      <c r="M21" s="11">
        <v>4142</v>
      </c>
      <c r="N21" s="11">
        <v>4172</v>
      </c>
      <c r="O21" s="3">
        <v>4172</v>
      </c>
    </row>
    <row r="22" spans="1:15" x14ac:dyDescent="0.25">
      <c r="A22" s="36" t="s">
        <v>122</v>
      </c>
      <c r="B22" s="11">
        <v>3406</v>
      </c>
      <c r="C22" s="11">
        <v>3556</v>
      </c>
      <c r="D22" s="11">
        <v>3794</v>
      </c>
      <c r="E22" s="11">
        <v>3853</v>
      </c>
      <c r="F22" s="11">
        <v>3898</v>
      </c>
      <c r="G22" s="11">
        <v>3912</v>
      </c>
      <c r="H22" s="11">
        <v>3895</v>
      </c>
      <c r="I22" s="11">
        <v>3904</v>
      </c>
      <c r="J22" s="11">
        <v>3916</v>
      </c>
      <c r="K22" s="11">
        <v>4001</v>
      </c>
      <c r="L22" s="11">
        <v>4025</v>
      </c>
      <c r="M22" s="11">
        <v>4028</v>
      </c>
      <c r="N22" s="11">
        <v>4062</v>
      </c>
      <c r="O22" s="3">
        <v>4088</v>
      </c>
    </row>
    <row r="23" spans="1:15" x14ac:dyDescent="0.25">
      <c r="A23" s="35" t="s">
        <v>123</v>
      </c>
      <c r="B23" s="11">
        <v>23660</v>
      </c>
      <c r="C23" s="11">
        <v>23869</v>
      </c>
      <c r="D23" s="11">
        <v>24659</v>
      </c>
      <c r="E23" s="11">
        <v>24772</v>
      </c>
      <c r="F23" s="11">
        <v>25055</v>
      </c>
      <c r="G23" s="11">
        <v>25297</v>
      </c>
      <c r="H23" s="11">
        <v>25446</v>
      </c>
      <c r="I23" s="11">
        <v>25444</v>
      </c>
      <c r="J23" s="11">
        <v>25376</v>
      </c>
      <c r="K23" s="11">
        <v>25571</v>
      </c>
      <c r="L23" s="11">
        <v>25690</v>
      </c>
      <c r="M23" s="11">
        <v>25743</v>
      </c>
      <c r="N23" s="11">
        <v>25846</v>
      </c>
      <c r="O23" s="3">
        <v>26037</v>
      </c>
    </row>
    <row r="24" spans="1:15" x14ac:dyDescent="0.25">
      <c r="A24" s="36" t="s">
        <v>124</v>
      </c>
      <c r="B24" s="11">
        <v>6506</v>
      </c>
      <c r="C24" s="11">
        <v>6558</v>
      </c>
      <c r="D24" s="11">
        <v>6598</v>
      </c>
      <c r="E24" s="11">
        <v>6582</v>
      </c>
      <c r="F24" s="11">
        <v>6684</v>
      </c>
      <c r="G24" s="11">
        <v>6784</v>
      </c>
      <c r="H24" s="11">
        <v>6803</v>
      </c>
      <c r="I24" s="11">
        <v>6924</v>
      </c>
      <c r="J24" s="11">
        <v>7057</v>
      </c>
      <c r="K24" s="11">
        <v>7076</v>
      </c>
      <c r="L24" s="11">
        <v>7195</v>
      </c>
      <c r="M24" s="11">
        <v>7230</v>
      </c>
      <c r="N24" s="11">
        <v>7184</v>
      </c>
      <c r="O24" s="3">
        <v>7174</v>
      </c>
    </row>
    <row r="25" spans="1:15" x14ac:dyDescent="0.25">
      <c r="A25" s="35" t="s">
        <v>125</v>
      </c>
      <c r="B25" s="11">
        <v>22674</v>
      </c>
      <c r="C25" s="11">
        <v>22774</v>
      </c>
      <c r="D25" s="11">
        <v>23969</v>
      </c>
      <c r="E25" s="11">
        <v>24078</v>
      </c>
      <c r="F25" s="11">
        <v>24151</v>
      </c>
      <c r="G25" s="11">
        <v>24251</v>
      </c>
      <c r="H25" s="11">
        <v>24263</v>
      </c>
      <c r="I25" s="11">
        <v>24329</v>
      </c>
      <c r="J25" s="11">
        <v>24268</v>
      </c>
      <c r="K25" s="11">
        <v>24369</v>
      </c>
      <c r="L25" s="11">
        <v>24352</v>
      </c>
      <c r="M25" s="11">
        <v>24491</v>
      </c>
      <c r="N25" s="11">
        <v>24517</v>
      </c>
      <c r="O25" s="3">
        <v>24526</v>
      </c>
    </row>
    <row r="26" spans="1:15" x14ac:dyDescent="0.25">
      <c r="A26" s="35" t="s">
        <v>126</v>
      </c>
      <c r="B26" s="11">
        <v>60728</v>
      </c>
      <c r="C26" s="11">
        <v>62698</v>
      </c>
      <c r="D26" s="11">
        <v>63972</v>
      </c>
      <c r="E26" s="11">
        <v>64172</v>
      </c>
      <c r="F26" s="11">
        <v>64157</v>
      </c>
      <c r="G26" s="11">
        <v>64270</v>
      </c>
      <c r="H26" s="11">
        <v>64259</v>
      </c>
      <c r="I26" s="11">
        <v>64192</v>
      </c>
      <c r="J26" s="11">
        <v>63787</v>
      </c>
      <c r="K26" s="11">
        <v>63926</v>
      </c>
      <c r="L26" s="11">
        <v>64035</v>
      </c>
      <c r="M26" s="11">
        <v>64266</v>
      </c>
      <c r="N26" s="11">
        <v>64609</v>
      </c>
      <c r="O26" s="3">
        <v>64744</v>
      </c>
    </row>
    <row r="27" spans="1:15" x14ac:dyDescent="0.25">
      <c r="A27" s="35" t="s">
        <v>127</v>
      </c>
      <c r="B27" s="11">
        <v>15240</v>
      </c>
      <c r="C27" s="11">
        <v>16019</v>
      </c>
      <c r="D27" s="11">
        <v>16622</v>
      </c>
      <c r="E27" s="11">
        <v>16662</v>
      </c>
      <c r="F27" s="11">
        <v>16798</v>
      </c>
      <c r="G27" s="11">
        <v>16888</v>
      </c>
      <c r="H27" s="11">
        <v>16925</v>
      </c>
      <c r="I27" s="11">
        <v>17040</v>
      </c>
      <c r="J27" s="11">
        <v>17200</v>
      </c>
      <c r="K27" s="11">
        <v>17287</v>
      </c>
      <c r="L27" s="11">
        <v>17322</v>
      </c>
      <c r="M27" s="11">
        <v>17351</v>
      </c>
      <c r="N27" s="11">
        <v>17265</v>
      </c>
      <c r="O27" s="3">
        <v>17281</v>
      </c>
    </row>
    <row r="28" spans="1:15" x14ac:dyDescent="0.25">
      <c r="A28" s="36" t="s">
        <v>128</v>
      </c>
      <c r="B28" s="11">
        <v>12811</v>
      </c>
      <c r="C28" s="11">
        <v>13614</v>
      </c>
      <c r="D28" s="11">
        <v>14402</v>
      </c>
      <c r="E28" s="11">
        <v>14417</v>
      </c>
      <c r="F28" s="11">
        <v>14490</v>
      </c>
      <c r="G28" s="11">
        <v>14645</v>
      </c>
      <c r="H28" s="11">
        <v>14712</v>
      </c>
      <c r="I28" s="11">
        <v>14909</v>
      </c>
      <c r="J28" s="11">
        <v>14932</v>
      </c>
      <c r="K28" s="11">
        <v>15043</v>
      </c>
      <c r="L28" s="11">
        <v>15159</v>
      </c>
      <c r="M28" s="11">
        <v>15141</v>
      </c>
      <c r="N28" s="11">
        <v>15171</v>
      </c>
      <c r="O28" s="3">
        <v>15087</v>
      </c>
    </row>
    <row r="29" spans="1:15" x14ac:dyDescent="0.25">
      <c r="A29" s="36" t="s">
        <v>129</v>
      </c>
      <c r="B29" s="11">
        <v>7630</v>
      </c>
      <c r="C29" s="11">
        <v>7907</v>
      </c>
      <c r="D29" s="11">
        <v>8198</v>
      </c>
      <c r="E29" s="11">
        <v>8215</v>
      </c>
      <c r="F29" s="11">
        <v>8232</v>
      </c>
      <c r="G29" s="11">
        <v>8172</v>
      </c>
      <c r="H29" s="11">
        <v>8199</v>
      </c>
      <c r="I29" s="11">
        <v>8297</v>
      </c>
      <c r="J29" s="11">
        <v>8312</v>
      </c>
      <c r="K29" s="11">
        <v>7822</v>
      </c>
      <c r="L29" s="11">
        <v>7871</v>
      </c>
      <c r="M29" s="11">
        <v>8058</v>
      </c>
      <c r="N29" s="11">
        <v>8200</v>
      </c>
      <c r="O29" s="3">
        <v>8289</v>
      </c>
    </row>
    <row r="30" spans="1:15" x14ac:dyDescent="0.25">
      <c r="A30" s="36" t="s">
        <v>130</v>
      </c>
      <c r="B30" s="11">
        <v>16870</v>
      </c>
      <c r="C30" s="11">
        <v>17009</v>
      </c>
      <c r="D30" s="11">
        <v>17572</v>
      </c>
      <c r="E30" s="11">
        <v>17748</v>
      </c>
      <c r="F30" s="11">
        <v>17759</v>
      </c>
      <c r="G30" s="11">
        <v>17767</v>
      </c>
      <c r="H30" s="11">
        <v>17812</v>
      </c>
      <c r="I30" s="11">
        <v>17926</v>
      </c>
      <c r="J30" s="11">
        <v>17865</v>
      </c>
      <c r="K30" s="11">
        <v>17973</v>
      </c>
      <c r="L30" s="11">
        <v>18060</v>
      </c>
      <c r="M30" s="11">
        <v>18154</v>
      </c>
      <c r="N30" s="11">
        <v>18110</v>
      </c>
      <c r="O30" s="3">
        <v>18079</v>
      </c>
    </row>
    <row r="31" spans="1:15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5">
      <c r="A33" s="1" t="s">
        <v>118</v>
      </c>
      <c r="B33" s="3">
        <f t="shared" ref="B33:O33" si="0">B18</f>
        <v>185574</v>
      </c>
      <c r="C33" s="3">
        <f t="shared" si="0"/>
        <v>192504</v>
      </c>
      <c r="D33" s="3">
        <f t="shared" si="0"/>
        <v>195968</v>
      </c>
      <c r="E33" s="3">
        <f t="shared" si="0"/>
        <v>196970</v>
      </c>
      <c r="F33" s="3">
        <f t="shared" si="0"/>
        <v>197885</v>
      </c>
      <c r="G33" s="3">
        <f t="shared" si="0"/>
        <v>197355</v>
      </c>
      <c r="H33" s="3">
        <f t="shared" si="0"/>
        <v>197327</v>
      </c>
      <c r="I33" s="3">
        <f t="shared" si="0"/>
        <v>197217</v>
      </c>
      <c r="J33" s="3">
        <f t="shared" si="0"/>
        <v>196296</v>
      </c>
      <c r="K33" s="3">
        <f t="shared" si="0"/>
        <v>195278</v>
      </c>
      <c r="L33" s="3">
        <f t="shared" si="0"/>
        <v>195346</v>
      </c>
      <c r="M33" s="3">
        <f t="shared" si="0"/>
        <v>195778</v>
      </c>
      <c r="N33" s="3">
        <f t="shared" si="0"/>
        <v>197323</v>
      </c>
      <c r="O33" s="3">
        <f t="shared" si="0"/>
        <v>198044</v>
      </c>
    </row>
    <row r="34" spans="1:15" x14ac:dyDescent="0.25">
      <c r="A34" s="38" t="s">
        <v>131</v>
      </c>
      <c r="B34" s="3">
        <f t="shared" ref="B34:O34" si="1">B3+B6+B8+B10+B13+B14+B15+B16+B23+B25+B26+B27</f>
        <v>287829</v>
      </c>
      <c r="C34" s="3">
        <f t="shared" si="1"/>
        <v>292739</v>
      </c>
      <c r="D34" s="3">
        <f t="shared" si="1"/>
        <v>300507</v>
      </c>
      <c r="E34" s="3">
        <f t="shared" si="1"/>
        <v>301050</v>
      </c>
      <c r="F34" s="3">
        <f t="shared" si="1"/>
        <v>301986</v>
      </c>
      <c r="G34" s="3">
        <f t="shared" si="1"/>
        <v>303188</v>
      </c>
      <c r="H34" s="3">
        <f t="shared" si="1"/>
        <v>303612</v>
      </c>
      <c r="I34" s="3">
        <f t="shared" si="1"/>
        <v>304330</v>
      </c>
      <c r="J34" s="3">
        <f t="shared" si="1"/>
        <v>303743</v>
      </c>
      <c r="K34" s="3">
        <f t="shared" si="1"/>
        <v>304981</v>
      </c>
      <c r="L34" s="3">
        <f t="shared" si="1"/>
        <v>305903</v>
      </c>
      <c r="M34" s="3">
        <f t="shared" si="1"/>
        <v>307211</v>
      </c>
      <c r="N34" s="3">
        <f t="shared" si="1"/>
        <v>307907</v>
      </c>
      <c r="O34" s="3">
        <f t="shared" si="1"/>
        <v>308439</v>
      </c>
    </row>
    <row r="35" spans="1:15" x14ac:dyDescent="0.25">
      <c r="A35" s="1" t="s">
        <v>132</v>
      </c>
      <c r="B35" s="3">
        <f t="shared" ref="B35:O35" si="2">B33+B34</f>
        <v>473403</v>
      </c>
      <c r="C35" s="3">
        <f t="shared" si="2"/>
        <v>485243</v>
      </c>
      <c r="D35" s="3">
        <f t="shared" si="2"/>
        <v>496475</v>
      </c>
      <c r="E35" s="3">
        <f t="shared" si="2"/>
        <v>498020</v>
      </c>
      <c r="F35" s="3">
        <f t="shared" si="2"/>
        <v>499871</v>
      </c>
      <c r="G35" s="3">
        <f t="shared" si="2"/>
        <v>500543</v>
      </c>
      <c r="H35" s="3">
        <f t="shared" si="2"/>
        <v>500939</v>
      </c>
      <c r="I35" s="3">
        <f t="shared" si="2"/>
        <v>501547</v>
      </c>
      <c r="J35" s="3">
        <f t="shared" si="2"/>
        <v>500039</v>
      </c>
      <c r="K35" s="3">
        <f t="shared" si="2"/>
        <v>500259</v>
      </c>
      <c r="L35" s="3">
        <f t="shared" si="2"/>
        <v>501249</v>
      </c>
      <c r="M35" s="3">
        <f t="shared" si="2"/>
        <v>502989</v>
      </c>
      <c r="N35" s="3">
        <f t="shared" si="2"/>
        <v>505230</v>
      </c>
      <c r="O35" s="3">
        <f t="shared" si="2"/>
        <v>506483</v>
      </c>
    </row>
    <row r="36" spans="1:15" x14ac:dyDescent="0.25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37" t="s">
        <v>133</v>
      </c>
      <c r="B37" s="3">
        <f t="shared" ref="B37:O37" si="3">B4+B5+B7+B9+B11+B12+B17+B19+B20+B21+B22+B24+B28+B29+B30</f>
        <v>123178</v>
      </c>
      <c r="C37" s="3">
        <f t="shared" si="3"/>
        <v>126606</v>
      </c>
      <c r="D37" s="3">
        <f t="shared" si="3"/>
        <v>130425</v>
      </c>
      <c r="E37" s="3">
        <f t="shared" si="3"/>
        <v>130798</v>
      </c>
      <c r="F37" s="3">
        <f t="shared" si="3"/>
        <v>130986</v>
      </c>
      <c r="G37" s="3">
        <f t="shared" si="3"/>
        <v>131558</v>
      </c>
      <c r="H37" s="3">
        <f t="shared" si="3"/>
        <v>131549</v>
      </c>
      <c r="I37" s="3">
        <f t="shared" si="3"/>
        <v>132423</v>
      </c>
      <c r="J37" s="3">
        <f t="shared" si="3"/>
        <v>132622</v>
      </c>
      <c r="K37" s="3">
        <f t="shared" si="3"/>
        <v>132688</v>
      </c>
      <c r="L37" s="3">
        <f t="shared" si="3"/>
        <v>133414</v>
      </c>
      <c r="M37" s="3">
        <f t="shared" si="3"/>
        <v>133887</v>
      </c>
      <c r="N37" s="3">
        <f t="shared" si="3"/>
        <v>134283</v>
      </c>
      <c r="O37" s="3">
        <f t="shared" si="3"/>
        <v>134294</v>
      </c>
    </row>
    <row r="38" spans="1:15" x14ac:dyDescent="0.25">
      <c r="A38" s="1" t="s">
        <v>134</v>
      </c>
      <c r="B38" s="3">
        <f t="shared" ref="B38:O38" si="4">B35+B37</f>
        <v>596581</v>
      </c>
      <c r="C38" s="3">
        <f t="shared" si="4"/>
        <v>611849</v>
      </c>
      <c r="D38" s="3">
        <f t="shared" si="4"/>
        <v>626900</v>
      </c>
      <c r="E38" s="3">
        <f t="shared" si="4"/>
        <v>628818</v>
      </c>
      <c r="F38" s="3">
        <f t="shared" si="4"/>
        <v>630857</v>
      </c>
      <c r="G38" s="3">
        <f t="shared" si="4"/>
        <v>632101</v>
      </c>
      <c r="H38" s="3">
        <f t="shared" si="4"/>
        <v>632488</v>
      </c>
      <c r="I38" s="3">
        <f t="shared" si="4"/>
        <v>633970</v>
      </c>
      <c r="J38" s="3">
        <f t="shared" si="4"/>
        <v>632661</v>
      </c>
      <c r="K38" s="3">
        <f t="shared" si="4"/>
        <v>632947</v>
      </c>
      <c r="L38" s="3">
        <f t="shared" si="4"/>
        <v>634663</v>
      </c>
      <c r="M38" s="3">
        <f t="shared" si="4"/>
        <v>636876</v>
      </c>
      <c r="N38" s="3">
        <f t="shared" si="4"/>
        <v>639513</v>
      </c>
      <c r="O38" s="3">
        <f t="shared" si="4"/>
        <v>640777</v>
      </c>
    </row>
    <row r="40" spans="1:15" x14ac:dyDescent="0.25">
      <c r="A40" s="71"/>
      <c r="B40" s="71"/>
      <c r="C40" s="71"/>
      <c r="D40" s="71"/>
    </row>
  </sheetData>
  <mergeCells count="2">
    <mergeCell ref="A1:D1"/>
    <mergeCell ref="A40:D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3ED5-E0E6-4E19-A986-D86AD2BD6360}">
  <dimension ref="A1:O52"/>
  <sheetViews>
    <sheetView showGridLines="0" topLeftCell="A19" workbookViewId="0">
      <selection activeCell="E32" sqref="E32"/>
    </sheetView>
  </sheetViews>
  <sheetFormatPr baseColWidth="10" defaultColWidth="11.42578125" defaultRowHeight="15" x14ac:dyDescent="0.25"/>
  <cols>
    <col min="1" max="1" width="20.7109375" customWidth="1"/>
    <col min="2" max="2" width="14.42578125" bestFit="1" customWidth="1"/>
  </cols>
  <sheetData>
    <row r="1" spans="1:15" x14ac:dyDescent="0.25">
      <c r="A1" s="71" t="s">
        <v>5</v>
      </c>
      <c r="B1" s="71"/>
      <c r="C1" s="71"/>
      <c r="D1" s="71"/>
    </row>
    <row r="2" spans="1:15" x14ac:dyDescent="0.25">
      <c r="A2" s="24"/>
      <c r="B2" s="25">
        <v>2005</v>
      </c>
      <c r="C2" s="25">
        <v>2010</v>
      </c>
      <c r="D2" s="25">
        <v>2015</v>
      </c>
      <c r="E2" s="25">
        <v>2016</v>
      </c>
      <c r="F2" s="25">
        <v>2017</v>
      </c>
      <c r="G2" s="25">
        <v>2018</v>
      </c>
      <c r="H2" s="25">
        <v>2019</v>
      </c>
      <c r="I2" s="25">
        <v>2020</v>
      </c>
      <c r="J2" s="25">
        <v>2021</v>
      </c>
      <c r="K2" s="25">
        <v>2022</v>
      </c>
      <c r="L2" s="25">
        <v>2023</v>
      </c>
      <c r="M2" s="25">
        <v>2024</v>
      </c>
      <c r="N2" s="25">
        <v>2025</v>
      </c>
      <c r="O2" s="25">
        <v>2026</v>
      </c>
    </row>
    <row r="3" spans="1:15" x14ac:dyDescent="0.25">
      <c r="A3" s="26" t="s">
        <v>135</v>
      </c>
      <c r="B3" s="24"/>
      <c r="C3" s="7">
        <v>9918</v>
      </c>
      <c r="D3" s="7">
        <v>10968</v>
      </c>
      <c r="E3" s="7">
        <v>11142</v>
      </c>
      <c r="F3" s="7">
        <v>11561</v>
      </c>
      <c r="G3" s="7">
        <v>11751</v>
      </c>
      <c r="H3" s="7">
        <v>11959</v>
      </c>
      <c r="I3" s="7">
        <v>12088</v>
      </c>
      <c r="J3" s="7">
        <v>12407</v>
      </c>
      <c r="K3" s="7">
        <v>12951</v>
      </c>
      <c r="L3" s="7">
        <v>12928</v>
      </c>
      <c r="M3" s="7">
        <v>13127</v>
      </c>
      <c r="N3" s="24"/>
      <c r="O3" s="24"/>
    </row>
    <row r="4" spans="1:15" x14ac:dyDescent="0.25">
      <c r="A4" s="26" t="s">
        <v>136</v>
      </c>
      <c r="B4" s="24"/>
      <c r="C4" s="7">
        <v>1214</v>
      </c>
      <c r="D4" s="7">
        <v>1276</v>
      </c>
      <c r="E4" s="7">
        <v>1339</v>
      </c>
      <c r="F4" s="7">
        <v>1339</v>
      </c>
      <c r="G4" s="7">
        <v>1344</v>
      </c>
      <c r="H4" s="7">
        <v>1330</v>
      </c>
      <c r="I4" s="7">
        <v>1255</v>
      </c>
      <c r="J4" s="7">
        <v>1288</v>
      </c>
      <c r="K4" s="7">
        <v>1668</v>
      </c>
      <c r="L4" s="7">
        <v>1307</v>
      </c>
      <c r="M4" s="7">
        <v>1421</v>
      </c>
      <c r="N4" s="24"/>
      <c r="O4" s="24"/>
    </row>
    <row r="5" spans="1:15" x14ac:dyDescent="0.25">
      <c r="A5" s="26" t="s">
        <v>137</v>
      </c>
      <c r="B5" s="24"/>
      <c r="C5" s="7">
        <v>1084</v>
      </c>
      <c r="D5" s="7">
        <v>1125</v>
      </c>
      <c r="E5" s="7">
        <v>1050</v>
      </c>
      <c r="F5" s="7">
        <v>895</v>
      </c>
      <c r="G5" s="7">
        <v>1080</v>
      </c>
      <c r="H5" s="7">
        <v>1030</v>
      </c>
      <c r="I5" s="7">
        <v>970</v>
      </c>
      <c r="J5" s="7">
        <v>879</v>
      </c>
      <c r="K5" s="7">
        <v>1033</v>
      </c>
      <c r="L5" s="7">
        <v>1211</v>
      </c>
      <c r="M5" s="7">
        <v>1205</v>
      </c>
      <c r="N5" s="24"/>
      <c r="O5" s="24"/>
    </row>
    <row r="6" spans="1:15" x14ac:dyDescent="0.25">
      <c r="A6" s="26"/>
      <c r="B6" s="24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24"/>
      <c r="O6" s="24"/>
    </row>
    <row r="7" spans="1:15" x14ac:dyDescent="0.25">
      <c r="A7" s="26" t="s">
        <v>138</v>
      </c>
      <c r="B7" s="24"/>
      <c r="C7" s="7">
        <v>480</v>
      </c>
      <c r="D7" s="7">
        <v>492</v>
      </c>
      <c r="E7" s="7">
        <v>514</v>
      </c>
      <c r="F7" s="7">
        <v>535</v>
      </c>
      <c r="G7" s="7">
        <v>554</v>
      </c>
      <c r="H7" s="7">
        <v>576</v>
      </c>
      <c r="I7" s="7">
        <v>597</v>
      </c>
      <c r="J7" s="7">
        <v>594</v>
      </c>
      <c r="K7" s="7">
        <v>601</v>
      </c>
      <c r="L7" s="7">
        <v>582</v>
      </c>
      <c r="M7" s="7">
        <v>580</v>
      </c>
      <c r="N7" s="24"/>
      <c r="O7" s="24"/>
    </row>
    <row r="8" spans="1:15" x14ac:dyDescent="0.25"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</row>
    <row r="9" spans="1:15" x14ac:dyDescent="0.25"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</row>
    <row r="10" spans="1:15" x14ac:dyDescent="0.25"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</row>
    <row r="11" spans="1:15" x14ac:dyDescent="0.25"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</row>
    <row r="12" spans="1:15" x14ac:dyDescent="0.25"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</row>
    <row r="13" spans="1:15" x14ac:dyDescent="0.25"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5" spans="1:15" x14ac:dyDescent="0.25"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25" spans="1:6" x14ac:dyDescent="0.25">
      <c r="A25" t="s">
        <v>13</v>
      </c>
      <c r="B25" s="27" t="s">
        <v>139</v>
      </c>
    </row>
    <row r="26" spans="1:6" x14ac:dyDescent="0.25">
      <c r="A26" t="s">
        <v>15</v>
      </c>
      <c r="B26" s="30">
        <v>46114</v>
      </c>
    </row>
    <row r="29" spans="1:6" x14ac:dyDescent="0.25">
      <c r="A29" s="71" t="s">
        <v>140</v>
      </c>
      <c r="B29" s="71"/>
      <c r="C29" s="71"/>
      <c r="D29" s="71"/>
    </row>
    <row r="31" spans="1:6" x14ac:dyDescent="0.25">
      <c r="A31" s="16" t="s">
        <v>141</v>
      </c>
      <c r="B31" s="31">
        <v>2020</v>
      </c>
      <c r="C31" s="31">
        <v>2021</v>
      </c>
      <c r="D31" s="31">
        <v>2022</v>
      </c>
      <c r="E31" s="31">
        <v>2023</v>
      </c>
      <c r="F31" s="31">
        <v>2024</v>
      </c>
    </row>
    <row r="32" spans="1:6" x14ac:dyDescent="0.25">
      <c r="A32" s="14" t="s">
        <v>10</v>
      </c>
      <c r="B32" s="21">
        <f>'Back_E&amp;C'!B35</f>
        <v>27576.646884566537</v>
      </c>
      <c r="C32" s="16"/>
      <c r="D32" s="21">
        <f>'Back_E&amp;C'!F35</f>
        <v>28576</v>
      </c>
      <c r="E32" s="21">
        <f>'Back_E&amp;C'!H35</f>
        <v>29740</v>
      </c>
      <c r="F32" s="16"/>
    </row>
    <row r="33" spans="1:6" x14ac:dyDescent="0.25">
      <c r="A33" s="32" t="s">
        <v>142</v>
      </c>
      <c r="B33" s="21">
        <f>'Back_E&amp;C'!B36</f>
        <v>28467.676167479811</v>
      </c>
      <c r="C33" s="16"/>
      <c r="D33" s="21">
        <f>'Back_E&amp;C'!F36</f>
        <v>29057</v>
      </c>
      <c r="E33" s="21">
        <f>'Back_E&amp;C'!H36</f>
        <v>29727</v>
      </c>
      <c r="F33" s="16"/>
    </row>
    <row r="34" spans="1:6" x14ac:dyDescent="0.25">
      <c r="A34" s="32" t="s">
        <v>143</v>
      </c>
      <c r="B34" s="21">
        <f>'Back_E&amp;C'!B37</f>
        <v>13428.243215863755</v>
      </c>
      <c r="C34" s="16"/>
      <c r="D34" s="21">
        <f>'Back_E&amp;C'!F37</f>
        <v>13354</v>
      </c>
      <c r="E34" s="21">
        <f>'Back_E&amp;C'!H37</f>
        <v>13666</v>
      </c>
      <c r="F34" s="16"/>
    </row>
    <row r="35" spans="1:6" x14ac:dyDescent="0.25">
      <c r="A35" s="32" t="s">
        <v>134</v>
      </c>
      <c r="B35" s="44">
        <f>SUM(B32:B34)</f>
        <v>69472.566267910108</v>
      </c>
      <c r="C35" s="16"/>
      <c r="D35" s="44">
        <f>SUM(D32:D34)</f>
        <v>70987</v>
      </c>
      <c r="E35" s="44">
        <f>SUM(E32:E34)</f>
        <v>73133</v>
      </c>
      <c r="F35" s="16"/>
    </row>
    <row r="36" spans="1:6" x14ac:dyDescent="0.25">
      <c r="A36" s="9"/>
      <c r="B36" s="18"/>
      <c r="D36" s="3"/>
      <c r="E36" s="3"/>
    </row>
    <row r="37" spans="1:6" x14ac:dyDescent="0.25">
      <c r="A37" s="14" t="s">
        <v>144</v>
      </c>
      <c r="B37" s="21">
        <f>'Back_E&amp;C'!B38</f>
        <v>24672.433732089718</v>
      </c>
      <c r="C37" s="16"/>
      <c r="D37" s="21">
        <f>'Back_E&amp;C'!F38</f>
        <v>23957</v>
      </c>
      <c r="E37" s="21">
        <f>'Back_E&amp;C'!H38</f>
        <v>24488</v>
      </c>
      <c r="F37" s="16"/>
    </row>
    <row r="38" spans="1:6" x14ac:dyDescent="0.25">
      <c r="A38" s="14" t="s">
        <v>145</v>
      </c>
      <c r="B38" s="44">
        <f>B35+B37</f>
        <v>94144.999999999825</v>
      </c>
      <c r="C38" s="16"/>
      <c r="D38" s="44">
        <f>SUM(D35+D37)</f>
        <v>94944</v>
      </c>
      <c r="E38" s="44">
        <f>SUM(E35+E37)</f>
        <v>97621</v>
      </c>
      <c r="F38" s="16"/>
    </row>
    <row r="41" spans="1:6" x14ac:dyDescent="0.25">
      <c r="A41" s="16" t="s">
        <v>146</v>
      </c>
      <c r="B41" s="31">
        <v>2020</v>
      </c>
      <c r="C41" s="31">
        <v>2021</v>
      </c>
      <c r="D41" s="31">
        <v>2022</v>
      </c>
      <c r="E41" s="31">
        <v>2023</v>
      </c>
      <c r="F41" s="31">
        <v>2024</v>
      </c>
    </row>
    <row r="42" spans="1:6" x14ac:dyDescent="0.25">
      <c r="A42" s="14" t="s">
        <v>10</v>
      </c>
      <c r="B42" s="51">
        <f>'Back_E&amp;C'!C35</f>
        <v>0.29291674421973113</v>
      </c>
      <c r="C42" s="16"/>
      <c r="D42" s="48">
        <f>'Back_E&amp;C'!G35</f>
        <v>0.30097741826761037</v>
      </c>
      <c r="E42" s="48">
        <f>'Back_E&amp;C'!I35</f>
        <v>0.30464756558527367</v>
      </c>
      <c r="F42" s="16"/>
    </row>
    <row r="43" spans="1:6" x14ac:dyDescent="0.25">
      <c r="A43" s="32" t="s">
        <v>142</v>
      </c>
      <c r="B43" s="51">
        <f>'Back_E&amp;C'!C36</f>
        <v>0.30238117974910894</v>
      </c>
      <c r="C43" s="16"/>
      <c r="D43" s="48">
        <f>'Back_E&amp;C'!G36</f>
        <v>0.30604356252106496</v>
      </c>
      <c r="E43" s="48">
        <f>'Back_E&amp;C'!I36</f>
        <v>0.30451439751692777</v>
      </c>
      <c r="F43" s="16"/>
    </row>
    <row r="44" spans="1:6" x14ac:dyDescent="0.25">
      <c r="A44" s="32" t="s">
        <v>143</v>
      </c>
      <c r="B44" s="51">
        <f>'Back_E&amp;C'!C37</f>
        <v>0.14263363126946496</v>
      </c>
      <c r="C44" s="16"/>
      <c r="D44" s="48">
        <f>'Back_E&amp;C'!G37</f>
        <v>0.14065133131108867</v>
      </c>
      <c r="E44" s="48">
        <f>'Back_E&amp;C'!I37</f>
        <v>0.13999037092428882</v>
      </c>
      <c r="F44" s="16"/>
    </row>
    <row r="45" spans="1:6" x14ac:dyDescent="0.25">
      <c r="A45" s="32" t="s">
        <v>134</v>
      </c>
      <c r="B45" s="51">
        <f>SUM(B42:B44)</f>
        <v>0.737931555238305</v>
      </c>
      <c r="C45" s="16"/>
      <c r="D45" s="49">
        <f>SUM(D42:D44)</f>
        <v>0.74767231209976392</v>
      </c>
      <c r="E45" s="49">
        <f>SUM(E42:E44)</f>
        <v>0.74915233402649017</v>
      </c>
      <c r="F45" s="16"/>
    </row>
    <row r="46" spans="1:6" x14ac:dyDescent="0.25">
      <c r="B46" s="18"/>
      <c r="D46" s="47"/>
      <c r="E46" s="47"/>
    </row>
    <row r="47" spans="1:6" x14ac:dyDescent="0.25">
      <c r="A47" s="14" t="s">
        <v>144</v>
      </c>
      <c r="B47" s="51">
        <f>'Back_E&amp;C'!C38</f>
        <v>0.26206844476169483</v>
      </c>
      <c r="C47" s="16"/>
      <c r="D47" s="48">
        <f>'Back_E&amp;C'!G38</f>
        <v>0.25232768790023591</v>
      </c>
      <c r="E47" s="48">
        <f>'Back_E&amp;C'!I38</f>
        <v>0.25084766597350983</v>
      </c>
      <c r="F47" s="16"/>
    </row>
    <row r="48" spans="1:6" x14ac:dyDescent="0.25">
      <c r="A48" s="32" t="s">
        <v>145</v>
      </c>
      <c r="B48" s="51">
        <f>B45+B47</f>
        <v>0.99999999999999978</v>
      </c>
      <c r="C48" s="16"/>
      <c r="D48" s="52">
        <f>D45+D47</f>
        <v>0.99999999999999978</v>
      </c>
      <c r="E48" s="52">
        <f>E45+E47</f>
        <v>1</v>
      </c>
      <c r="F48" s="16"/>
    </row>
    <row r="51" spans="1:2" x14ac:dyDescent="0.25">
      <c r="A51" t="s">
        <v>147</v>
      </c>
      <c r="B51" s="18" t="s">
        <v>148</v>
      </c>
    </row>
    <row r="52" spans="1:2" x14ac:dyDescent="0.25">
      <c r="A52" t="s">
        <v>149</v>
      </c>
      <c r="B52" s="30">
        <v>46119</v>
      </c>
    </row>
  </sheetData>
  <mergeCells count="2">
    <mergeCell ref="A1:D1"/>
    <mergeCell ref="A29:D29"/>
  </mergeCells>
  <hyperlinks>
    <hyperlink ref="B25" r:id="rId1" xr:uid="{B822350E-CC97-41F3-9D4F-FCAB2F60222B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2DF3-2B2E-4484-94E7-232A1DF80022}">
  <dimension ref="A1:G19"/>
  <sheetViews>
    <sheetView workbookViewId="0">
      <selection activeCell="G8" sqref="G8"/>
    </sheetView>
  </sheetViews>
  <sheetFormatPr baseColWidth="10" defaultColWidth="11.42578125" defaultRowHeight="15" x14ac:dyDescent="0.25"/>
  <cols>
    <col min="1" max="1" width="26.7109375" bestFit="1" customWidth="1"/>
    <col min="2" max="2" width="21.7109375" bestFit="1" customWidth="1"/>
  </cols>
  <sheetData>
    <row r="1" spans="1:7" x14ac:dyDescent="0.25">
      <c r="A1" s="71" t="s">
        <v>150</v>
      </c>
      <c r="B1" s="71"/>
      <c r="C1" s="71"/>
      <c r="D1" s="71"/>
    </row>
    <row r="3" spans="1:7" x14ac:dyDescent="0.25">
      <c r="A3" s="54"/>
      <c r="B3" s="54"/>
      <c r="C3" s="55" t="s">
        <v>151</v>
      </c>
      <c r="D3" s="55" t="s">
        <v>152</v>
      </c>
      <c r="E3" s="55" t="s">
        <v>153</v>
      </c>
      <c r="F3" s="55" t="s">
        <v>154</v>
      </c>
      <c r="G3" s="55" t="s">
        <v>155</v>
      </c>
    </row>
    <row r="4" spans="1:7" x14ac:dyDescent="0.25">
      <c r="A4" s="56" t="s">
        <v>156</v>
      </c>
      <c r="B4" s="57" t="s">
        <v>157</v>
      </c>
      <c r="C4" s="63">
        <v>193</v>
      </c>
      <c r="D4" s="63">
        <v>211</v>
      </c>
      <c r="E4" s="63">
        <v>217</v>
      </c>
      <c r="F4" s="63">
        <v>195</v>
      </c>
      <c r="G4" s="63">
        <v>184</v>
      </c>
    </row>
    <row r="5" spans="1:7" x14ac:dyDescent="0.25">
      <c r="A5" s="58"/>
      <c r="B5" s="57" t="s">
        <v>158</v>
      </c>
      <c r="C5" s="63">
        <v>4773</v>
      </c>
      <c r="D5" s="63">
        <v>4935</v>
      </c>
      <c r="E5" s="63">
        <v>4777</v>
      </c>
      <c r="F5" s="63">
        <v>4746</v>
      </c>
      <c r="G5" s="63">
        <v>4796</v>
      </c>
    </row>
    <row r="6" spans="1:7" x14ac:dyDescent="0.25">
      <c r="A6" s="59" t="s">
        <v>159</v>
      </c>
      <c r="B6" s="60"/>
      <c r="C6" s="64">
        <v>4966</v>
      </c>
      <c r="D6" s="64">
        <v>5146</v>
      </c>
      <c r="E6" s="64">
        <v>4994</v>
      </c>
      <c r="F6" s="64">
        <v>4941</v>
      </c>
      <c r="G6" s="64">
        <v>4980</v>
      </c>
    </row>
    <row r="7" spans="1:7" x14ac:dyDescent="0.25">
      <c r="A7" s="61"/>
      <c r="B7" s="61"/>
      <c r="C7" s="65"/>
      <c r="D7" s="65"/>
      <c r="E7" s="65"/>
      <c r="F7" s="65"/>
      <c r="G7" s="65"/>
    </row>
    <row r="8" spans="1:7" x14ac:dyDescent="0.25">
      <c r="A8" s="56" t="s">
        <v>160</v>
      </c>
      <c r="B8" s="57" t="s">
        <v>157</v>
      </c>
      <c r="C8" s="63">
        <v>2989</v>
      </c>
      <c r="D8" s="63">
        <v>3348</v>
      </c>
      <c r="E8" s="63">
        <v>3437</v>
      </c>
      <c r="F8" s="63">
        <v>3230</v>
      </c>
      <c r="G8" s="63">
        <v>3223</v>
      </c>
    </row>
    <row r="9" spans="1:7" x14ac:dyDescent="0.25">
      <c r="A9" s="58"/>
      <c r="B9" s="57" t="s">
        <v>158</v>
      </c>
      <c r="C9" s="63">
        <v>18372</v>
      </c>
      <c r="D9" s="63">
        <v>19224</v>
      </c>
      <c r="E9" s="63">
        <v>19378</v>
      </c>
      <c r="F9" s="63">
        <v>18402</v>
      </c>
      <c r="G9" s="63">
        <v>18541</v>
      </c>
    </row>
    <row r="10" spans="1:7" x14ac:dyDescent="0.25">
      <c r="A10" s="59" t="s">
        <v>161</v>
      </c>
      <c r="B10" s="60"/>
      <c r="C10" s="64">
        <v>21361</v>
      </c>
      <c r="D10" s="64">
        <v>22572</v>
      </c>
      <c r="E10" s="64">
        <v>22815</v>
      </c>
      <c r="F10" s="64">
        <v>21632</v>
      </c>
      <c r="G10" s="64">
        <v>21764</v>
      </c>
    </row>
    <row r="11" spans="1:7" x14ac:dyDescent="0.25">
      <c r="A11" s="61"/>
      <c r="B11" s="61"/>
      <c r="C11" s="65"/>
      <c r="D11" s="65"/>
      <c r="E11" s="65"/>
      <c r="F11" s="65"/>
      <c r="G11" s="65"/>
    </row>
    <row r="12" spans="1:7" x14ac:dyDescent="0.25">
      <c r="A12" s="62" t="s">
        <v>162</v>
      </c>
      <c r="B12" s="60"/>
      <c r="C12" s="64">
        <v>26327</v>
      </c>
      <c r="D12" s="64">
        <v>27718</v>
      </c>
      <c r="E12" s="64">
        <v>27809</v>
      </c>
      <c r="F12" s="64">
        <v>26573</v>
      </c>
      <c r="G12" s="64">
        <v>26744</v>
      </c>
    </row>
    <row r="14" spans="1:7" ht="30" x14ac:dyDescent="0.25">
      <c r="A14" s="53" t="s">
        <v>163</v>
      </c>
      <c r="C14" s="3">
        <f>C6+C8</f>
        <v>7955</v>
      </c>
      <c r="D14" s="3">
        <f t="shared" ref="D14:G14" si="0">D6+D8</f>
        <v>8494</v>
      </c>
      <c r="E14" s="3">
        <f t="shared" si="0"/>
        <v>8431</v>
      </c>
      <c r="F14" s="3">
        <f t="shared" si="0"/>
        <v>8171</v>
      </c>
      <c r="G14" s="3">
        <f t="shared" si="0"/>
        <v>8203</v>
      </c>
    </row>
    <row r="15" spans="1:7" ht="30" x14ac:dyDescent="0.25">
      <c r="A15" s="53" t="s">
        <v>164</v>
      </c>
      <c r="C15" s="47">
        <f>C14/C12</f>
        <v>0.30216127929502035</v>
      </c>
      <c r="D15" s="47">
        <f t="shared" ref="D15:G15" si="1">D14/D12</f>
        <v>0.30644346633956276</v>
      </c>
      <c r="E15" s="47">
        <f t="shared" si="1"/>
        <v>0.30317523104031069</v>
      </c>
      <c r="F15" s="47">
        <f t="shared" si="1"/>
        <v>0.30749256764384902</v>
      </c>
      <c r="G15" s="47">
        <f t="shared" si="1"/>
        <v>0.30672300329045765</v>
      </c>
    </row>
    <row r="18" spans="1:2" x14ac:dyDescent="0.25">
      <c r="A18" t="s">
        <v>13</v>
      </c>
      <c r="B18" t="s">
        <v>165</v>
      </c>
    </row>
    <row r="19" spans="1:2" x14ac:dyDescent="0.25">
      <c r="A19" t="s">
        <v>15</v>
      </c>
      <c r="B19" s="66">
        <v>46121</v>
      </c>
    </row>
  </sheetData>
  <mergeCells count="1">
    <mergeCell ref="A1:D1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291E-C956-4176-AAB3-CA3B09A44DEF}">
  <dimension ref="A1:K574"/>
  <sheetViews>
    <sheetView tabSelected="1" workbookViewId="0">
      <selection activeCell="H4" sqref="H4"/>
    </sheetView>
  </sheetViews>
  <sheetFormatPr baseColWidth="10" defaultColWidth="11.42578125" defaultRowHeight="15" x14ac:dyDescent="0.25"/>
  <cols>
    <col min="1" max="1" width="29.140625" bestFit="1" customWidth="1"/>
  </cols>
  <sheetData>
    <row r="1" spans="1:11" x14ac:dyDescent="0.25">
      <c r="A1" s="71" t="s">
        <v>6</v>
      </c>
      <c r="B1" s="71"/>
      <c r="C1" s="71"/>
      <c r="D1" s="71"/>
    </row>
    <row r="2" spans="1:11" x14ac:dyDescent="0.25">
      <c r="B2" s="72">
        <v>2020</v>
      </c>
      <c r="C2" s="72"/>
      <c r="D2" s="72">
        <v>2021</v>
      </c>
      <c r="E2" s="72"/>
      <c r="F2" s="72">
        <v>2022</v>
      </c>
      <c r="G2" s="72"/>
      <c r="H2" s="72">
        <v>2023</v>
      </c>
      <c r="I2" s="72"/>
      <c r="J2" s="72">
        <v>2024</v>
      </c>
      <c r="K2" s="72"/>
    </row>
    <row r="3" spans="1:11" x14ac:dyDescent="0.25">
      <c r="B3" s="18" t="s">
        <v>166</v>
      </c>
      <c r="C3" s="18" t="s">
        <v>167</v>
      </c>
      <c r="D3" s="18" t="s">
        <v>166</v>
      </c>
      <c r="E3" s="18" t="s">
        <v>167</v>
      </c>
      <c r="F3" s="18" t="s">
        <v>166</v>
      </c>
      <c r="G3" s="18" t="s">
        <v>167</v>
      </c>
      <c r="H3" s="18" t="s">
        <v>166</v>
      </c>
      <c r="I3" s="18" t="s">
        <v>167</v>
      </c>
      <c r="J3" s="18" t="s">
        <v>166</v>
      </c>
      <c r="K3" s="18" t="s">
        <v>167</v>
      </c>
    </row>
    <row r="4" spans="1:11" x14ac:dyDescent="0.25">
      <c r="A4" s="41" t="s">
        <v>168</v>
      </c>
      <c r="B4" s="33">
        <v>3013.0692222667967</v>
      </c>
      <c r="C4" s="34">
        <f>B4/B$40</f>
        <v>3.200455916157844E-2</v>
      </c>
      <c r="F4" s="3">
        <v>3096</v>
      </c>
      <c r="G4" s="43">
        <f>F4/F$40</f>
        <v>3.2608695652173912E-2</v>
      </c>
      <c r="H4" s="3">
        <v>3159</v>
      </c>
      <c r="I4" s="43">
        <f t="shared" ref="I4:I31" si="0">H4/H$40</f>
        <v>3.235984060806589E-2</v>
      </c>
    </row>
    <row r="5" spans="1:11" x14ac:dyDescent="0.25">
      <c r="A5" s="42" t="s">
        <v>169</v>
      </c>
      <c r="B5" s="33">
        <v>932.01810332127457</v>
      </c>
      <c r="C5" s="34">
        <f t="shared" ref="C5:C31" si="1">B5/B$40</f>
        <v>9.8998152139919936E-3</v>
      </c>
      <c r="F5" s="3">
        <v>957</v>
      </c>
      <c r="G5" s="43">
        <f t="shared" ref="G5:G31" si="2">F5/F$40</f>
        <v>1.0079625884732053E-2</v>
      </c>
      <c r="H5" s="3">
        <v>1009</v>
      </c>
      <c r="I5" s="43">
        <f t="shared" si="0"/>
        <v>1.0335890843158746E-2</v>
      </c>
    </row>
    <row r="6" spans="1:11" x14ac:dyDescent="0.25">
      <c r="A6" s="42" t="s">
        <v>170</v>
      </c>
      <c r="B6" s="33">
        <v>798.01576703887008</v>
      </c>
      <c r="C6" s="34">
        <f t="shared" si="1"/>
        <v>8.4764540553281809E-3</v>
      </c>
      <c r="F6" s="3">
        <v>763</v>
      </c>
      <c r="G6" s="43">
        <f t="shared" si="2"/>
        <v>8.0363161442534546E-3</v>
      </c>
      <c r="H6" s="3">
        <v>771</v>
      </c>
      <c r="I6" s="43">
        <f t="shared" si="0"/>
        <v>7.8978908226713506E-3</v>
      </c>
    </row>
    <row r="7" spans="1:11" x14ac:dyDescent="0.25">
      <c r="A7" s="41" t="s">
        <v>171</v>
      </c>
      <c r="B7" s="33">
        <v>1477.034190002169</v>
      </c>
      <c r="C7" s="34">
        <f t="shared" si="1"/>
        <v>1.568892867387723E-2</v>
      </c>
      <c r="F7" s="3">
        <v>1491</v>
      </c>
      <c r="G7" s="43">
        <f t="shared" si="2"/>
        <v>1.5703993933265926E-2</v>
      </c>
      <c r="H7" s="3">
        <v>1534</v>
      </c>
      <c r="I7" s="43">
        <f t="shared" si="0"/>
        <v>1.5713832064822117E-2</v>
      </c>
    </row>
    <row r="8" spans="1:11" x14ac:dyDescent="0.25">
      <c r="A8" s="42" t="s">
        <v>172</v>
      </c>
      <c r="B8" s="33">
        <v>1369.0245404796224</v>
      </c>
      <c r="C8" s="34">
        <f t="shared" si="1"/>
        <v>1.4541659572782674E-2</v>
      </c>
      <c r="F8" s="3">
        <v>1346</v>
      </c>
      <c r="G8" s="43">
        <f t="shared" si="2"/>
        <v>1.4176777890124705E-2</v>
      </c>
      <c r="H8" s="3">
        <v>1380</v>
      </c>
      <c r="I8" s="43">
        <f t="shared" si="0"/>
        <v>1.4136302639800863E-2</v>
      </c>
    </row>
    <row r="9" spans="1:11" x14ac:dyDescent="0.25">
      <c r="A9" s="41" t="s">
        <v>173</v>
      </c>
      <c r="B9" s="33">
        <v>2385.0416161357216</v>
      </c>
      <c r="C9" s="34">
        <f t="shared" si="1"/>
        <v>2.5333704563553307E-2</v>
      </c>
      <c r="F9" s="3">
        <v>2317</v>
      </c>
      <c r="G9" s="43">
        <f t="shared" si="2"/>
        <v>2.4403859116953152E-2</v>
      </c>
      <c r="H9" s="3">
        <v>2384</v>
      </c>
      <c r="I9" s="43">
        <f t="shared" si="0"/>
        <v>2.4420974995134244E-2</v>
      </c>
    </row>
    <row r="10" spans="1:11" x14ac:dyDescent="0.25">
      <c r="A10" s="42" t="s">
        <v>174</v>
      </c>
      <c r="B10" s="33">
        <v>359.00618656929424</v>
      </c>
      <c r="C10" s="34">
        <f t="shared" si="1"/>
        <v>3.8133324825460183E-3</v>
      </c>
      <c r="F10" s="3">
        <v>345</v>
      </c>
      <c r="G10" s="43">
        <f t="shared" si="2"/>
        <v>3.6337209302325581E-3</v>
      </c>
      <c r="H10" s="3">
        <v>349</v>
      </c>
      <c r="I10" s="43">
        <f t="shared" si="0"/>
        <v>3.575050450210508E-3</v>
      </c>
    </row>
    <row r="11" spans="1:11" x14ac:dyDescent="0.25">
      <c r="A11" s="41" t="s">
        <v>175</v>
      </c>
      <c r="B11" s="33">
        <v>377.00884945933569</v>
      </c>
      <c r="C11" s="34">
        <f t="shared" si="1"/>
        <v>4.0045552016499692E-3</v>
      </c>
      <c r="F11" s="3">
        <v>394</v>
      </c>
      <c r="G11" s="43">
        <f t="shared" si="2"/>
        <v>4.1498146275699361E-3</v>
      </c>
      <c r="H11" s="3">
        <v>401</v>
      </c>
      <c r="I11" s="43">
        <f t="shared" si="0"/>
        <v>4.1077227235943089E-3</v>
      </c>
    </row>
    <row r="12" spans="1:11" x14ac:dyDescent="0.25">
      <c r="A12" s="42" t="s">
        <v>176</v>
      </c>
      <c r="B12" s="33">
        <v>1626.0269142258301</v>
      </c>
      <c r="C12" s="34">
        <f t="shared" si="1"/>
        <v>1.7271516429187245E-2</v>
      </c>
      <c r="F12" s="3">
        <v>1604</v>
      </c>
      <c r="G12" s="43">
        <f t="shared" si="2"/>
        <v>1.6894169194472532E-2</v>
      </c>
      <c r="H12" s="3">
        <v>1629</v>
      </c>
      <c r="I12" s="43">
        <f t="shared" si="0"/>
        <v>1.668698333350406E-2</v>
      </c>
    </row>
    <row r="13" spans="1:11" x14ac:dyDescent="0.25">
      <c r="A13" s="42" t="s">
        <v>177</v>
      </c>
      <c r="B13" s="33">
        <v>350.00619143992895</v>
      </c>
      <c r="C13" s="34">
        <f t="shared" si="1"/>
        <v>3.7177353172226841E-3</v>
      </c>
      <c r="F13" s="3">
        <v>385</v>
      </c>
      <c r="G13" s="43">
        <f t="shared" si="2"/>
        <v>4.0550219076508258E-3</v>
      </c>
      <c r="H13" s="3">
        <v>394</v>
      </c>
      <c r="I13" s="43">
        <f t="shared" si="0"/>
        <v>4.0360168406387972E-3</v>
      </c>
    </row>
    <row r="14" spans="1:11" x14ac:dyDescent="0.25">
      <c r="A14" s="41" t="s">
        <v>178</v>
      </c>
      <c r="B14" s="33">
        <v>2135.051254140616</v>
      </c>
      <c r="C14" s="34">
        <f t="shared" si="1"/>
        <v>2.2678328685969727E-2</v>
      </c>
      <c r="F14" s="3">
        <v>2190</v>
      </c>
      <c r="G14" s="43">
        <f t="shared" si="2"/>
        <v>2.3066228513650151E-2</v>
      </c>
      <c r="H14" s="3">
        <v>2255</v>
      </c>
      <c r="I14" s="43">
        <f t="shared" si="0"/>
        <v>2.3099538009239817E-2</v>
      </c>
    </row>
    <row r="15" spans="1:11" x14ac:dyDescent="0.25">
      <c r="A15" s="41" t="s">
        <v>179</v>
      </c>
      <c r="B15" s="33">
        <v>1694.0370798569838</v>
      </c>
      <c r="C15" s="34">
        <f t="shared" si="1"/>
        <v>1.7993914492081226E-2</v>
      </c>
      <c r="F15" s="3">
        <v>1701</v>
      </c>
      <c r="G15" s="43">
        <f t="shared" si="2"/>
        <v>1.791582406471183E-2</v>
      </c>
      <c r="H15" s="3">
        <v>1748</v>
      </c>
      <c r="I15" s="43">
        <f t="shared" si="0"/>
        <v>1.790598334374776E-2</v>
      </c>
    </row>
    <row r="16" spans="1:11" x14ac:dyDescent="0.25">
      <c r="A16" s="41" t="s">
        <v>180</v>
      </c>
      <c r="B16" s="33">
        <v>2091.0519737249069</v>
      </c>
      <c r="C16" s="34">
        <f t="shared" si="1"/>
        <v>2.2210972157044036E-2</v>
      </c>
      <c r="F16" s="3">
        <v>2196</v>
      </c>
      <c r="G16" s="43">
        <f t="shared" si="2"/>
        <v>2.3129423660262893E-2</v>
      </c>
      <c r="H16" s="3">
        <v>2189</v>
      </c>
      <c r="I16" s="43">
        <f t="shared" si="0"/>
        <v>2.2423453969944992E-2</v>
      </c>
    </row>
    <row r="17" spans="1:9" x14ac:dyDescent="0.25">
      <c r="A17" s="41" t="s">
        <v>181</v>
      </c>
      <c r="B17" s="33">
        <v>4053.1061558648203</v>
      </c>
      <c r="C17" s="34">
        <f t="shared" si="1"/>
        <v>4.3051740993837462E-2</v>
      </c>
      <c r="F17" s="3">
        <v>4231</v>
      </c>
      <c r="G17" s="43">
        <f t="shared" si="2"/>
        <v>4.4563110886417255E-2</v>
      </c>
      <c r="H17" s="3">
        <v>4267</v>
      </c>
      <c r="I17" s="43">
        <f t="shared" si="0"/>
        <v>4.3709857510166872E-2</v>
      </c>
    </row>
    <row r="18" spans="1:9" x14ac:dyDescent="0.25">
      <c r="A18" s="42" t="s">
        <v>182</v>
      </c>
      <c r="B18" s="33">
        <v>1178.023490599739</v>
      </c>
      <c r="C18" s="34">
        <f t="shared" si="1"/>
        <v>1.251286303680218E-2</v>
      </c>
      <c r="F18" s="3">
        <v>1182</v>
      </c>
      <c r="G18" s="43">
        <f t="shared" si="2"/>
        <v>1.2449443882709807E-2</v>
      </c>
      <c r="H18" s="3">
        <v>1203</v>
      </c>
      <c r="I18" s="43">
        <f t="shared" si="0"/>
        <v>1.2323168170782927E-2</v>
      </c>
    </row>
    <row r="19" spans="1:9" x14ac:dyDescent="0.25">
      <c r="A19" s="39" t="s">
        <v>183</v>
      </c>
      <c r="B19" s="33">
        <v>27576.646884566537</v>
      </c>
      <c r="C19" s="34">
        <f t="shared" si="1"/>
        <v>0.29291674421973113</v>
      </c>
      <c r="F19" s="3">
        <v>28576</v>
      </c>
      <c r="G19" s="43">
        <f t="shared" si="2"/>
        <v>0.30097741826761037</v>
      </c>
      <c r="H19" s="3">
        <v>29740</v>
      </c>
      <c r="I19" s="43">
        <f t="shared" si="0"/>
        <v>0.30464756558527367</v>
      </c>
    </row>
    <row r="20" spans="1:9" x14ac:dyDescent="0.25">
      <c r="A20" s="42" t="s">
        <v>184</v>
      </c>
      <c r="B20" s="33">
        <v>515.00765928683063</v>
      </c>
      <c r="C20" s="34">
        <f t="shared" si="1"/>
        <v>5.4703665546426425E-3</v>
      </c>
      <c r="F20" s="3">
        <v>514</v>
      </c>
      <c r="G20" s="43">
        <f t="shared" si="2"/>
        <v>5.4137175598247388E-3</v>
      </c>
      <c r="H20" s="3">
        <v>544</v>
      </c>
      <c r="I20" s="43">
        <f t="shared" si="0"/>
        <v>5.5725714753997605E-3</v>
      </c>
    </row>
    <row r="21" spans="1:9" x14ac:dyDescent="0.25">
      <c r="A21" s="42" t="s">
        <v>185</v>
      </c>
      <c r="B21" s="33">
        <v>1093.0174318978429</v>
      </c>
      <c r="C21" s="34">
        <f t="shared" si="1"/>
        <v>1.1609936076242444E-2</v>
      </c>
      <c r="F21" s="3">
        <v>1062</v>
      </c>
      <c r="G21" s="43">
        <f t="shared" si="2"/>
        <v>1.1185540950455005E-2</v>
      </c>
      <c r="H21" s="3">
        <v>1078</v>
      </c>
      <c r="I21" s="43">
        <f t="shared" si="0"/>
        <v>1.104270597514879E-2</v>
      </c>
    </row>
    <row r="22" spans="1:9" x14ac:dyDescent="0.25">
      <c r="A22" s="42" t="s">
        <v>186</v>
      </c>
      <c r="B22" s="33">
        <v>353.00528299185908</v>
      </c>
      <c r="C22" s="34">
        <f t="shared" si="1"/>
        <v>3.7495914067859123E-3</v>
      </c>
      <c r="F22" s="3">
        <v>351</v>
      </c>
      <c r="G22" s="43">
        <f t="shared" si="2"/>
        <v>3.6969160768452981E-3</v>
      </c>
      <c r="H22" s="3">
        <v>377</v>
      </c>
      <c r="I22" s="43">
        <f t="shared" si="0"/>
        <v>3.8618739820325543E-3</v>
      </c>
    </row>
    <row r="23" spans="1:9" x14ac:dyDescent="0.25">
      <c r="A23" s="42" t="s">
        <v>187</v>
      </c>
      <c r="B23" s="33">
        <v>297.00490335272792</v>
      </c>
      <c r="C23" s="34">
        <f t="shared" si="1"/>
        <v>3.1547602459262676E-3</v>
      </c>
      <c r="F23" s="3">
        <v>307</v>
      </c>
      <c r="G23" s="43">
        <f t="shared" si="2"/>
        <v>3.233485001685204E-3</v>
      </c>
      <c r="H23" s="3">
        <v>318</v>
      </c>
      <c r="I23" s="43">
        <f t="shared" si="0"/>
        <v>3.2574958256932421E-3</v>
      </c>
    </row>
    <row r="24" spans="1:9" x14ac:dyDescent="0.25">
      <c r="A24" s="41" t="s">
        <v>188</v>
      </c>
      <c r="B24" s="33">
        <v>2240.0483192674092</v>
      </c>
      <c r="C24" s="34">
        <f t="shared" si="1"/>
        <v>2.3793598377687752E-2</v>
      </c>
      <c r="F24" s="3">
        <v>2300</v>
      </c>
      <c r="G24" s="43">
        <f t="shared" si="2"/>
        <v>2.4224806201550389E-2</v>
      </c>
      <c r="H24" s="3">
        <v>2374</v>
      </c>
      <c r="I24" s="43">
        <f t="shared" si="0"/>
        <v>2.4318538019483513E-2</v>
      </c>
    </row>
    <row r="25" spans="1:9" x14ac:dyDescent="0.25">
      <c r="A25" s="42" t="s">
        <v>189</v>
      </c>
      <c r="B25" s="33">
        <v>541.01152800877048</v>
      </c>
      <c r="C25" s="34">
        <f t="shared" si="1"/>
        <v>5.7465773860403795E-3</v>
      </c>
      <c r="F25" s="3">
        <v>543</v>
      </c>
      <c r="G25" s="43">
        <f t="shared" si="2"/>
        <v>5.7191607684529827E-3</v>
      </c>
      <c r="H25" s="3">
        <v>538</v>
      </c>
      <c r="I25" s="43">
        <f t="shared" si="0"/>
        <v>5.5111092900093214E-3</v>
      </c>
    </row>
    <row r="26" spans="1:9" x14ac:dyDescent="0.25">
      <c r="A26" s="41" t="s">
        <v>190</v>
      </c>
      <c r="B26" s="33">
        <v>2442.0656672687574</v>
      </c>
      <c r="C26" s="34">
        <f t="shared" si="1"/>
        <v>2.5939409073968474E-2</v>
      </c>
      <c r="F26" s="3">
        <v>2417</v>
      </c>
      <c r="G26" s="43">
        <f t="shared" si="2"/>
        <v>2.5457111560498822E-2</v>
      </c>
      <c r="H26" s="3">
        <v>2524</v>
      </c>
      <c r="I26" s="43">
        <f t="shared" si="0"/>
        <v>2.5855092654244478E-2</v>
      </c>
    </row>
    <row r="27" spans="1:9" x14ac:dyDescent="0.25">
      <c r="A27" s="41" t="s">
        <v>191</v>
      </c>
      <c r="B27" s="33">
        <v>5068.1322114399045</v>
      </c>
      <c r="C27" s="34">
        <f t="shared" si="1"/>
        <v>5.3833259455519825E-2</v>
      </c>
      <c r="F27" s="3">
        <v>5230</v>
      </c>
      <c r="G27" s="43">
        <f t="shared" si="2"/>
        <v>5.5085102797438487E-2</v>
      </c>
      <c r="H27" s="3">
        <v>5375</v>
      </c>
      <c r="I27" s="43">
        <f t="shared" si="0"/>
        <v>5.5059874412267854E-2</v>
      </c>
    </row>
    <row r="28" spans="1:9" x14ac:dyDescent="0.25">
      <c r="A28" s="41" t="s">
        <v>192</v>
      </c>
      <c r="B28" s="33">
        <v>1492.0296280523878</v>
      </c>
      <c r="C28" s="34">
        <f t="shared" si="1"/>
        <v>1.58482089123415E-2</v>
      </c>
      <c r="F28" s="3">
        <v>1494</v>
      </c>
      <c r="G28" s="43">
        <f t="shared" si="2"/>
        <v>1.5735591506572295E-2</v>
      </c>
      <c r="H28" s="3">
        <v>1517</v>
      </c>
      <c r="I28" s="43">
        <f t="shared" si="0"/>
        <v>1.5539689206215875E-2</v>
      </c>
    </row>
    <row r="29" spans="1:9" x14ac:dyDescent="0.25">
      <c r="A29" s="42" t="s">
        <v>193</v>
      </c>
      <c r="B29" s="33">
        <v>1540.025602422646</v>
      </c>
      <c r="C29" s="34">
        <f t="shared" si="1"/>
        <v>1.6358017976766146E-2</v>
      </c>
      <c r="F29" s="3">
        <v>1532</v>
      </c>
      <c r="G29" s="43">
        <f t="shared" si="2"/>
        <v>1.6135827435119651E-2</v>
      </c>
      <c r="H29" s="3">
        <v>1571</v>
      </c>
      <c r="I29" s="43">
        <f t="shared" si="0"/>
        <v>1.6092848874729823E-2</v>
      </c>
    </row>
    <row r="30" spans="1:9" x14ac:dyDescent="0.25">
      <c r="A30" s="42" t="s">
        <v>194</v>
      </c>
      <c r="B30" s="33">
        <v>955.01852160688838</v>
      </c>
      <c r="C30" s="34">
        <f t="shared" si="1"/>
        <v>1.0144123656135644E-2</v>
      </c>
      <c r="F30" s="3">
        <v>931</v>
      </c>
      <c r="G30" s="43">
        <f t="shared" si="2"/>
        <v>9.8057802494101783E-3</v>
      </c>
      <c r="H30" s="3">
        <v>955</v>
      </c>
      <c r="I30" s="43">
        <f t="shared" si="0"/>
        <v>9.7827311746447997E-3</v>
      </c>
    </row>
    <row r="31" spans="1:9" x14ac:dyDescent="0.25">
      <c r="A31" s="42" t="s">
        <v>195</v>
      </c>
      <c r="B31" s="33">
        <v>1522.0310926216318</v>
      </c>
      <c r="C31" s="34">
        <f t="shared" si="1"/>
        <v>1.6166881859064577E-2</v>
      </c>
      <c r="F31" s="3">
        <v>1532</v>
      </c>
      <c r="G31" s="43">
        <f t="shared" si="2"/>
        <v>1.6135827435119651E-2</v>
      </c>
      <c r="H31" s="3">
        <v>1550</v>
      </c>
      <c r="I31" s="43">
        <f t="shared" si="0"/>
        <v>1.5877731225863289E-2</v>
      </c>
    </row>
    <row r="32" spans="1:9" x14ac:dyDescent="0.25">
      <c r="B32" s="33"/>
      <c r="C32" s="34"/>
      <c r="F32" s="18"/>
      <c r="G32" s="18"/>
    </row>
    <row r="34" spans="1:11" x14ac:dyDescent="0.25">
      <c r="B34" s="33"/>
      <c r="C34" s="34"/>
    </row>
    <row r="35" spans="1:11" x14ac:dyDescent="0.25">
      <c r="A35" s="1" t="s">
        <v>118</v>
      </c>
      <c r="B35" s="3">
        <f t="shared" ref="B35:K35" si="3">SUMIF($A4:$A31,"Liege",B4:B31)</f>
        <v>27576.646884566537</v>
      </c>
      <c r="C35" s="47">
        <f t="shared" si="3"/>
        <v>0.29291674421973113</v>
      </c>
      <c r="D35" s="3">
        <f t="shared" si="3"/>
        <v>0</v>
      </c>
      <c r="E35" s="47">
        <f t="shared" si="3"/>
        <v>0</v>
      </c>
      <c r="F35" s="3">
        <f t="shared" si="3"/>
        <v>28576</v>
      </c>
      <c r="G35" s="47">
        <f t="shared" si="3"/>
        <v>0.30097741826761037</v>
      </c>
      <c r="H35" s="3">
        <f t="shared" si="3"/>
        <v>29740</v>
      </c>
      <c r="I35" s="47">
        <f t="shared" si="3"/>
        <v>0.30464756558527367</v>
      </c>
      <c r="J35" s="3">
        <f t="shared" si="3"/>
        <v>0</v>
      </c>
      <c r="K35" s="47">
        <f t="shared" si="3"/>
        <v>0</v>
      </c>
    </row>
    <row r="36" spans="1:11" x14ac:dyDescent="0.25">
      <c r="A36" s="1" t="s">
        <v>196</v>
      </c>
      <c r="B36" s="3">
        <f t="shared" ref="B36:K36" si="4">SUMIF($A:$A, "Seraing", B:B)+SUMIF($A:$A, "Herstal", B:B)+SUMIF($A:$A, "Ans", B:B)+SUMIF($A:$A, "Saint-Nicolas (liege)", B:B)+SUMIF($A:$A, "chaudfontaine", B:B)+SUMIF($A:$A, "grace-hollogne", B:B)+SUMIF($A:$A, "flemalle", B:B)+SUMIF($A:$A, "oupeye", B:B)+SUMIF($A:$A, "fleron", B:B)+SUMIF($A:$A, "Soumagne", B:B)+SUMIF($A:$A, "beyne-heusay", B:B)+SUMIF($A:$A, "engis", B:B)</f>
        <v>28467.676167479811</v>
      </c>
      <c r="C36" s="47">
        <f t="shared" si="4"/>
        <v>0.30238117974910894</v>
      </c>
      <c r="D36" s="3">
        <f t="shared" si="4"/>
        <v>0</v>
      </c>
      <c r="E36" s="47">
        <f t="shared" si="4"/>
        <v>0</v>
      </c>
      <c r="F36" s="3">
        <f t="shared" si="4"/>
        <v>29057</v>
      </c>
      <c r="G36" s="47">
        <f t="shared" si="4"/>
        <v>0.30604356252106496</v>
      </c>
      <c r="H36" s="3">
        <f t="shared" si="4"/>
        <v>29727</v>
      </c>
      <c r="I36" s="47">
        <f t="shared" si="4"/>
        <v>0.30451439751692777</v>
      </c>
      <c r="J36" s="3">
        <f t="shared" si="4"/>
        <v>0</v>
      </c>
      <c r="K36" s="47">
        <f t="shared" si="4"/>
        <v>0</v>
      </c>
    </row>
    <row r="37" spans="1:11" x14ac:dyDescent="0.25">
      <c r="A37" s="1" t="s">
        <v>133</v>
      </c>
      <c r="B37" s="3">
        <f t="shared" ref="B37:K37" si="5">SUMIF($A:$A, "Esneux", B:B)+SUMIF($A:$A, "Sprimont", B:B)+SUMIF($A:$A, "blegny", B:B)+SUMIF($A:$A, "vise", B:B)+SUMIF($A:$A, "neupre", B:B)+SUMIF($A:$A, "juprelle", B:B)+SUMIF($A:$A, "trooz", B:B)+SUMIF($A:$A, "awans", B:B)+SUMIF($A:$A, "nandrin", B:B)+SUMIF($A:$A, "bassenge", B:B)+SUMIF($A:$A, "saint-georges-sur-meuse", B:B)+SUMIF($A:$A, "olne", B:B)+SUMIF($A:$A, "fexhe-le-haut-clocher", B:B)+SUMIF($A:$A, "crisnee", B:B)+SUMIF($A:$A, "oreye", B:B)</f>
        <v>13428.243215863755</v>
      </c>
      <c r="C37" s="47">
        <f t="shared" si="5"/>
        <v>0.14263363126946496</v>
      </c>
      <c r="D37" s="3">
        <f t="shared" si="5"/>
        <v>0</v>
      </c>
      <c r="E37" s="47">
        <f t="shared" si="5"/>
        <v>0</v>
      </c>
      <c r="F37" s="3">
        <f t="shared" si="5"/>
        <v>13354</v>
      </c>
      <c r="G37" s="47">
        <f t="shared" si="5"/>
        <v>0.14065133131108867</v>
      </c>
      <c r="H37" s="3">
        <f t="shared" si="5"/>
        <v>13666</v>
      </c>
      <c r="I37" s="47">
        <f t="shared" si="5"/>
        <v>0.13999037092428882</v>
      </c>
      <c r="J37" s="3">
        <f t="shared" si="5"/>
        <v>0</v>
      </c>
      <c r="K37" s="47">
        <f t="shared" si="5"/>
        <v>0</v>
      </c>
    </row>
    <row r="38" spans="1:11" x14ac:dyDescent="0.25">
      <c r="A38" s="1" t="s">
        <v>144</v>
      </c>
      <c r="B38" s="3">
        <v>24672.433732089718</v>
      </c>
      <c r="C38" s="47">
        <v>0.26206844476169483</v>
      </c>
      <c r="D38" s="3"/>
      <c r="E38" s="47"/>
      <c r="F38" s="3">
        <v>23957</v>
      </c>
      <c r="G38" s="47">
        <v>0.25232768790023591</v>
      </c>
      <c r="H38" s="3">
        <v>24488</v>
      </c>
      <c r="I38" s="47">
        <v>0.25084766597350983</v>
      </c>
      <c r="J38" s="3"/>
      <c r="K38" s="47"/>
    </row>
    <row r="39" spans="1:11" x14ac:dyDescent="0.25">
      <c r="B39" s="33"/>
      <c r="C39" s="34"/>
      <c r="I39" s="33"/>
      <c r="K39" s="33"/>
    </row>
    <row r="40" spans="1:11" x14ac:dyDescent="0.25">
      <c r="A40" s="1" t="s">
        <v>145</v>
      </c>
      <c r="B40" s="3">
        <f>SUM(B35:B38)</f>
        <v>94144.999999999825</v>
      </c>
      <c r="C40" s="46">
        <f t="shared" ref="C40:I40" si="6">SUM(C35:C38)</f>
        <v>0.99999999999999978</v>
      </c>
      <c r="D40" s="3">
        <f t="shared" si="6"/>
        <v>0</v>
      </c>
      <c r="E40" s="46">
        <f t="shared" si="6"/>
        <v>0</v>
      </c>
      <c r="F40" s="3">
        <f t="shared" si="6"/>
        <v>94944</v>
      </c>
      <c r="G40" s="46">
        <f t="shared" si="6"/>
        <v>0.99999999999999978</v>
      </c>
      <c r="H40" s="3">
        <f t="shared" si="6"/>
        <v>97621</v>
      </c>
      <c r="I40" s="46">
        <f t="shared" si="6"/>
        <v>1</v>
      </c>
      <c r="J40" s="3">
        <f t="shared" ref="J40:K40" si="7">SUM(J35:J38)</f>
        <v>0</v>
      </c>
      <c r="K40" s="46">
        <f t="shared" si="7"/>
        <v>0</v>
      </c>
    </row>
    <row r="41" spans="1:11" x14ac:dyDescent="0.25">
      <c r="B41" s="33"/>
      <c r="C41" s="34"/>
      <c r="H41" s="33"/>
      <c r="I41" s="33"/>
      <c r="J41" s="34"/>
    </row>
    <row r="42" spans="1:11" x14ac:dyDescent="0.25">
      <c r="B42" s="50"/>
      <c r="C42" s="34"/>
      <c r="I42" s="33"/>
      <c r="J42" s="34"/>
    </row>
    <row r="43" spans="1:11" x14ac:dyDescent="0.25">
      <c r="B43" s="33"/>
      <c r="C43" s="34"/>
      <c r="I43" s="33"/>
      <c r="J43" s="34"/>
    </row>
    <row r="44" spans="1:11" x14ac:dyDescent="0.25">
      <c r="B44" s="33"/>
      <c r="C44" s="34"/>
      <c r="I44" s="33"/>
      <c r="J44" s="34"/>
    </row>
    <row r="45" spans="1:11" x14ac:dyDescent="0.25">
      <c r="B45" s="33"/>
      <c r="C45" s="34"/>
    </row>
    <row r="46" spans="1:11" x14ac:dyDescent="0.25">
      <c r="B46" s="33"/>
      <c r="C46" s="34"/>
    </row>
    <row r="47" spans="1:11" x14ac:dyDescent="0.25">
      <c r="B47" s="33"/>
      <c r="C47" s="34"/>
    </row>
    <row r="48" spans="1:11" x14ac:dyDescent="0.25">
      <c r="B48" s="33"/>
      <c r="C48" s="34"/>
      <c r="I48" s="33"/>
      <c r="J48" s="34"/>
    </row>
    <row r="49" spans="2:10" x14ac:dyDescent="0.25">
      <c r="B49" s="33"/>
      <c r="C49" s="34"/>
    </row>
    <row r="50" spans="2:10" x14ac:dyDescent="0.25">
      <c r="B50" s="33"/>
      <c r="C50" s="34"/>
      <c r="I50" s="33"/>
      <c r="J50" s="34"/>
    </row>
    <row r="51" spans="2:10" x14ac:dyDescent="0.25">
      <c r="B51" s="33"/>
      <c r="C51" s="34"/>
      <c r="I51" s="33"/>
      <c r="J51" s="34"/>
    </row>
    <row r="52" spans="2:10" x14ac:dyDescent="0.25">
      <c r="B52" s="33"/>
      <c r="C52" s="34"/>
      <c r="I52" s="33"/>
      <c r="J52" s="34"/>
    </row>
    <row r="53" spans="2:10" x14ac:dyDescent="0.25">
      <c r="B53" s="33"/>
      <c r="C53" s="34"/>
    </row>
    <row r="54" spans="2:10" x14ac:dyDescent="0.25">
      <c r="B54" s="33"/>
      <c r="C54" s="34"/>
    </row>
    <row r="55" spans="2:10" x14ac:dyDescent="0.25">
      <c r="B55" s="33"/>
      <c r="C55" s="34"/>
    </row>
    <row r="56" spans="2:10" x14ac:dyDescent="0.25">
      <c r="B56" s="33"/>
      <c r="C56" s="34"/>
    </row>
    <row r="57" spans="2:10" x14ac:dyDescent="0.25">
      <c r="B57" s="33"/>
      <c r="C57" s="34"/>
    </row>
    <row r="58" spans="2:10" x14ac:dyDescent="0.25">
      <c r="B58" s="33"/>
      <c r="C58" s="34"/>
    </row>
    <row r="59" spans="2:10" x14ac:dyDescent="0.25">
      <c r="B59" s="33"/>
      <c r="C59" s="34"/>
    </row>
    <row r="60" spans="2:10" x14ac:dyDescent="0.25">
      <c r="B60" s="33"/>
      <c r="C60" s="34"/>
    </row>
    <row r="61" spans="2:10" x14ac:dyDescent="0.25">
      <c r="B61" s="33"/>
      <c r="C61" s="34"/>
    </row>
    <row r="62" spans="2:10" x14ac:dyDescent="0.25">
      <c r="B62" s="33"/>
      <c r="C62" s="34"/>
    </row>
    <row r="63" spans="2:10" x14ac:dyDescent="0.25">
      <c r="B63" s="33"/>
      <c r="C63" s="34"/>
    </row>
    <row r="64" spans="2:10" x14ac:dyDescent="0.25">
      <c r="B64" s="33"/>
      <c r="C64" s="34"/>
    </row>
    <row r="65" spans="2:3" x14ac:dyDescent="0.25">
      <c r="B65" s="33"/>
      <c r="C65" s="34"/>
    </row>
    <row r="66" spans="2:3" x14ac:dyDescent="0.25">
      <c r="B66" s="33"/>
      <c r="C66" s="34"/>
    </row>
    <row r="67" spans="2:3" x14ac:dyDescent="0.25">
      <c r="B67" s="33"/>
      <c r="C67" s="34"/>
    </row>
    <row r="68" spans="2:3" x14ac:dyDescent="0.25">
      <c r="B68" s="33"/>
      <c r="C68" s="34"/>
    </row>
    <row r="69" spans="2:3" x14ac:dyDescent="0.25">
      <c r="B69" s="33"/>
      <c r="C69" s="34"/>
    </row>
    <row r="70" spans="2:3" x14ac:dyDescent="0.25">
      <c r="B70" s="33"/>
      <c r="C70" s="34"/>
    </row>
    <row r="71" spans="2:3" x14ac:dyDescent="0.25">
      <c r="B71" s="33"/>
      <c r="C71" s="34"/>
    </row>
    <row r="72" spans="2:3" x14ac:dyDescent="0.25">
      <c r="B72" s="33"/>
      <c r="C72" s="34"/>
    </row>
    <row r="73" spans="2:3" x14ac:dyDescent="0.25">
      <c r="B73" s="33"/>
      <c r="C73" s="34"/>
    </row>
    <row r="74" spans="2:3" x14ac:dyDescent="0.25">
      <c r="B74" s="33"/>
      <c r="C74" s="34"/>
    </row>
    <row r="75" spans="2:3" x14ac:dyDescent="0.25">
      <c r="B75" s="33"/>
      <c r="C75" s="34"/>
    </row>
    <row r="76" spans="2:3" x14ac:dyDescent="0.25">
      <c r="B76" s="33"/>
      <c r="C76" s="34"/>
    </row>
    <row r="77" spans="2:3" x14ac:dyDescent="0.25">
      <c r="B77" s="33"/>
      <c r="C77" s="34"/>
    </row>
    <row r="78" spans="2:3" x14ac:dyDescent="0.25">
      <c r="B78" s="33"/>
      <c r="C78" s="34"/>
    </row>
    <row r="79" spans="2:3" x14ac:dyDescent="0.25">
      <c r="B79" s="33"/>
      <c r="C79" s="34"/>
    </row>
    <row r="80" spans="2:3" x14ac:dyDescent="0.25">
      <c r="B80" s="33"/>
      <c r="C80" s="34"/>
    </row>
    <row r="81" spans="2:3" x14ac:dyDescent="0.25">
      <c r="B81" s="33"/>
      <c r="C81" s="34"/>
    </row>
    <row r="82" spans="2:3" x14ac:dyDescent="0.25">
      <c r="B82" s="33"/>
      <c r="C82" s="34"/>
    </row>
    <row r="83" spans="2:3" x14ac:dyDescent="0.25">
      <c r="B83" s="33"/>
      <c r="C83" s="34"/>
    </row>
    <row r="84" spans="2:3" x14ac:dyDescent="0.25">
      <c r="B84" s="33"/>
      <c r="C84" s="34"/>
    </row>
    <row r="85" spans="2:3" x14ac:dyDescent="0.25">
      <c r="B85" s="33"/>
      <c r="C85" s="34"/>
    </row>
    <row r="86" spans="2:3" x14ac:dyDescent="0.25">
      <c r="B86" s="33"/>
      <c r="C86" s="34"/>
    </row>
    <row r="87" spans="2:3" x14ac:dyDescent="0.25">
      <c r="B87" s="33"/>
      <c r="C87" s="34"/>
    </row>
    <row r="88" spans="2:3" x14ac:dyDescent="0.25">
      <c r="B88" s="33"/>
      <c r="C88" s="34"/>
    </row>
    <row r="89" spans="2:3" x14ac:dyDescent="0.25">
      <c r="B89" s="33"/>
      <c r="C89" s="34"/>
    </row>
    <row r="90" spans="2:3" x14ac:dyDescent="0.25">
      <c r="B90" s="33"/>
      <c r="C90" s="34"/>
    </row>
    <row r="91" spans="2:3" x14ac:dyDescent="0.25">
      <c r="B91" s="33"/>
      <c r="C91" s="34"/>
    </row>
    <row r="92" spans="2:3" x14ac:dyDescent="0.25">
      <c r="B92" s="33"/>
      <c r="C92" s="34"/>
    </row>
    <row r="93" spans="2:3" x14ac:dyDescent="0.25">
      <c r="B93" s="33"/>
      <c r="C93" s="34"/>
    </row>
    <row r="94" spans="2:3" x14ac:dyDescent="0.25">
      <c r="B94" s="33"/>
      <c r="C94" s="34"/>
    </row>
    <row r="95" spans="2:3" x14ac:dyDescent="0.25">
      <c r="B95" s="33"/>
      <c r="C95" s="34"/>
    </row>
    <row r="96" spans="2:3" x14ac:dyDescent="0.25">
      <c r="B96" s="33"/>
      <c r="C96" s="34"/>
    </row>
    <row r="97" spans="2:3" x14ac:dyDescent="0.25">
      <c r="B97" s="33"/>
      <c r="C97" s="34"/>
    </row>
    <row r="98" spans="2:3" x14ac:dyDescent="0.25">
      <c r="B98" s="33"/>
      <c r="C98" s="34"/>
    </row>
    <row r="99" spans="2:3" x14ac:dyDescent="0.25">
      <c r="B99" s="33"/>
      <c r="C99" s="34"/>
    </row>
    <row r="100" spans="2:3" x14ac:dyDescent="0.25">
      <c r="B100" s="33"/>
      <c r="C100" s="34"/>
    </row>
    <row r="101" spans="2:3" x14ac:dyDescent="0.25">
      <c r="B101" s="33"/>
      <c r="C101" s="34"/>
    </row>
    <row r="102" spans="2:3" x14ac:dyDescent="0.25">
      <c r="B102" s="33"/>
      <c r="C102" s="34"/>
    </row>
    <row r="103" spans="2:3" x14ac:dyDescent="0.25">
      <c r="B103" s="33"/>
      <c r="C103" s="34"/>
    </row>
    <row r="104" spans="2:3" x14ac:dyDescent="0.25">
      <c r="B104" s="33"/>
      <c r="C104" s="34"/>
    </row>
    <row r="105" spans="2:3" x14ac:dyDescent="0.25">
      <c r="B105" s="33"/>
      <c r="C105" s="34"/>
    </row>
    <row r="106" spans="2:3" x14ac:dyDescent="0.25">
      <c r="B106" s="33"/>
      <c r="C106" s="34"/>
    </row>
    <row r="107" spans="2:3" x14ac:dyDescent="0.25">
      <c r="B107" s="33"/>
      <c r="C107" s="34"/>
    </row>
    <row r="108" spans="2:3" x14ac:dyDescent="0.25">
      <c r="B108" s="33"/>
      <c r="C108" s="34"/>
    </row>
    <row r="109" spans="2:3" x14ac:dyDescent="0.25">
      <c r="B109" s="33"/>
      <c r="C109" s="34"/>
    </row>
    <row r="110" spans="2:3" x14ac:dyDescent="0.25">
      <c r="B110" s="33"/>
      <c r="C110" s="34"/>
    </row>
    <row r="111" spans="2:3" x14ac:dyDescent="0.25">
      <c r="B111" s="33"/>
      <c r="C111" s="34"/>
    </row>
    <row r="112" spans="2:3" x14ac:dyDescent="0.25">
      <c r="B112" s="33"/>
      <c r="C112" s="34"/>
    </row>
    <row r="113" spans="2:3" x14ac:dyDescent="0.25">
      <c r="B113" s="33"/>
      <c r="C113" s="34"/>
    </row>
    <row r="114" spans="2:3" x14ac:dyDescent="0.25">
      <c r="B114" s="33"/>
      <c r="C114" s="34"/>
    </row>
    <row r="115" spans="2:3" x14ac:dyDescent="0.25">
      <c r="B115" s="33"/>
      <c r="C115" s="34"/>
    </row>
    <row r="116" spans="2:3" x14ac:dyDescent="0.25">
      <c r="B116" s="33"/>
      <c r="C116" s="34"/>
    </row>
    <row r="117" spans="2:3" x14ac:dyDescent="0.25">
      <c r="B117" s="33"/>
      <c r="C117" s="34"/>
    </row>
    <row r="118" spans="2:3" x14ac:dyDescent="0.25">
      <c r="B118" s="33"/>
      <c r="C118" s="34"/>
    </row>
    <row r="119" spans="2:3" x14ac:dyDescent="0.25">
      <c r="B119" s="33"/>
      <c r="C119" s="34"/>
    </row>
    <row r="120" spans="2:3" x14ac:dyDescent="0.25">
      <c r="B120" s="33"/>
      <c r="C120" s="34"/>
    </row>
    <row r="121" spans="2:3" x14ac:dyDescent="0.25">
      <c r="B121" s="33"/>
      <c r="C121" s="34"/>
    </row>
    <row r="122" spans="2:3" x14ac:dyDescent="0.25">
      <c r="B122" s="33"/>
      <c r="C122" s="34"/>
    </row>
    <row r="123" spans="2:3" x14ac:dyDescent="0.25">
      <c r="B123" s="33"/>
      <c r="C123" s="34"/>
    </row>
    <row r="124" spans="2:3" x14ac:dyDescent="0.25">
      <c r="B124" s="33"/>
      <c r="C124" s="34"/>
    </row>
    <row r="125" spans="2:3" x14ac:dyDescent="0.25">
      <c r="B125" s="33"/>
      <c r="C125" s="34"/>
    </row>
    <row r="126" spans="2:3" x14ac:dyDescent="0.25">
      <c r="B126" s="33"/>
      <c r="C126" s="34"/>
    </row>
    <row r="127" spans="2:3" x14ac:dyDescent="0.25">
      <c r="B127" s="33"/>
      <c r="C127" s="34"/>
    </row>
    <row r="128" spans="2:3" x14ac:dyDescent="0.25">
      <c r="B128" s="33"/>
      <c r="C128" s="34"/>
    </row>
    <row r="129" spans="2:3" x14ac:dyDescent="0.25">
      <c r="B129" s="33"/>
      <c r="C129" s="34"/>
    </row>
    <row r="130" spans="2:3" x14ac:dyDescent="0.25">
      <c r="B130" s="33"/>
      <c r="C130" s="34"/>
    </row>
    <row r="131" spans="2:3" x14ac:dyDescent="0.25">
      <c r="B131" s="33"/>
      <c r="C131" s="34"/>
    </row>
    <row r="132" spans="2:3" x14ac:dyDescent="0.25">
      <c r="B132" s="33"/>
      <c r="C132" s="34"/>
    </row>
    <row r="133" spans="2:3" x14ac:dyDescent="0.25">
      <c r="B133" s="33"/>
      <c r="C133" s="34"/>
    </row>
    <row r="134" spans="2:3" x14ac:dyDescent="0.25">
      <c r="B134" s="33"/>
      <c r="C134" s="34"/>
    </row>
    <row r="135" spans="2:3" x14ac:dyDescent="0.25">
      <c r="B135" s="33"/>
      <c r="C135" s="34"/>
    </row>
    <row r="136" spans="2:3" x14ac:dyDescent="0.25">
      <c r="B136" s="33"/>
      <c r="C136" s="34"/>
    </row>
    <row r="137" spans="2:3" x14ac:dyDescent="0.25">
      <c r="B137" s="33"/>
      <c r="C137" s="34"/>
    </row>
    <row r="138" spans="2:3" x14ac:dyDescent="0.25">
      <c r="B138" s="33"/>
      <c r="C138" s="34"/>
    </row>
    <row r="139" spans="2:3" x14ac:dyDescent="0.25">
      <c r="B139" s="33"/>
      <c r="C139" s="34"/>
    </row>
    <row r="140" spans="2:3" x14ac:dyDescent="0.25">
      <c r="B140" s="33"/>
      <c r="C140" s="34"/>
    </row>
    <row r="141" spans="2:3" x14ac:dyDescent="0.25">
      <c r="B141" s="33"/>
      <c r="C141" s="34"/>
    </row>
    <row r="142" spans="2:3" x14ac:dyDescent="0.25">
      <c r="B142" s="33"/>
      <c r="C142" s="34"/>
    </row>
    <row r="143" spans="2:3" x14ac:dyDescent="0.25">
      <c r="B143" s="33"/>
      <c r="C143" s="34"/>
    </row>
    <row r="144" spans="2:3" x14ac:dyDescent="0.25">
      <c r="B144" s="33"/>
      <c r="C144" s="34"/>
    </row>
    <row r="145" spans="2:3" x14ac:dyDescent="0.25">
      <c r="B145" s="33"/>
      <c r="C145" s="34"/>
    </row>
    <row r="146" spans="2:3" x14ac:dyDescent="0.25">
      <c r="B146" s="33"/>
      <c r="C146" s="34"/>
    </row>
    <row r="147" spans="2:3" x14ac:dyDescent="0.25">
      <c r="B147" s="33"/>
      <c r="C147" s="34"/>
    </row>
    <row r="148" spans="2:3" x14ac:dyDescent="0.25">
      <c r="B148" s="33"/>
      <c r="C148" s="34"/>
    </row>
    <row r="149" spans="2:3" x14ac:dyDescent="0.25">
      <c r="B149" s="33"/>
      <c r="C149" s="34"/>
    </row>
    <row r="150" spans="2:3" x14ac:dyDescent="0.25">
      <c r="B150" s="33"/>
      <c r="C150" s="34"/>
    </row>
    <row r="151" spans="2:3" x14ac:dyDescent="0.25">
      <c r="B151" s="33"/>
      <c r="C151" s="34"/>
    </row>
    <row r="152" spans="2:3" x14ac:dyDescent="0.25">
      <c r="B152" s="33"/>
      <c r="C152" s="34"/>
    </row>
    <row r="153" spans="2:3" x14ac:dyDescent="0.25">
      <c r="B153" s="33"/>
      <c r="C153" s="34"/>
    </row>
    <row r="154" spans="2:3" x14ac:dyDescent="0.25">
      <c r="B154" s="33"/>
      <c r="C154" s="34"/>
    </row>
    <row r="155" spans="2:3" x14ac:dyDescent="0.25">
      <c r="B155" s="33"/>
      <c r="C155" s="34"/>
    </row>
    <row r="156" spans="2:3" x14ac:dyDescent="0.25">
      <c r="B156" s="33"/>
      <c r="C156" s="34"/>
    </row>
    <row r="157" spans="2:3" x14ac:dyDescent="0.25">
      <c r="B157" s="33"/>
      <c r="C157" s="34"/>
    </row>
    <row r="158" spans="2:3" x14ac:dyDescent="0.25">
      <c r="B158" s="33"/>
      <c r="C158" s="34"/>
    </row>
    <row r="159" spans="2:3" x14ac:dyDescent="0.25">
      <c r="B159" s="33"/>
      <c r="C159" s="34"/>
    </row>
    <row r="160" spans="2:3" x14ac:dyDescent="0.25">
      <c r="B160" s="33"/>
      <c r="C160" s="34"/>
    </row>
    <row r="161" spans="2:3" x14ac:dyDescent="0.25">
      <c r="B161" s="33"/>
      <c r="C161" s="34"/>
    </row>
    <row r="162" spans="2:3" x14ac:dyDescent="0.25">
      <c r="B162" s="33"/>
      <c r="C162" s="34"/>
    </row>
    <row r="163" spans="2:3" x14ac:dyDescent="0.25">
      <c r="B163" s="33"/>
      <c r="C163" s="34"/>
    </row>
    <row r="164" spans="2:3" x14ac:dyDescent="0.25">
      <c r="B164" s="33"/>
      <c r="C164" s="34"/>
    </row>
    <row r="165" spans="2:3" x14ac:dyDescent="0.25">
      <c r="B165" s="33"/>
      <c r="C165" s="34"/>
    </row>
    <row r="166" spans="2:3" x14ac:dyDescent="0.25">
      <c r="B166" s="33"/>
      <c r="C166" s="34"/>
    </row>
    <row r="167" spans="2:3" x14ac:dyDescent="0.25">
      <c r="B167" s="33"/>
      <c r="C167" s="34"/>
    </row>
    <row r="168" spans="2:3" x14ac:dyDescent="0.25">
      <c r="B168" s="33"/>
      <c r="C168" s="34"/>
    </row>
    <row r="169" spans="2:3" x14ac:dyDescent="0.25">
      <c r="B169" s="33"/>
      <c r="C169" s="34"/>
    </row>
    <row r="170" spans="2:3" x14ac:dyDescent="0.25">
      <c r="B170" s="33"/>
      <c r="C170" s="34"/>
    </row>
    <row r="171" spans="2:3" x14ac:dyDescent="0.25">
      <c r="B171" s="33"/>
      <c r="C171" s="34"/>
    </row>
    <row r="172" spans="2:3" x14ac:dyDescent="0.25">
      <c r="B172" s="33"/>
      <c r="C172" s="34"/>
    </row>
    <row r="173" spans="2:3" x14ac:dyDescent="0.25">
      <c r="B173" s="33"/>
      <c r="C173" s="34"/>
    </row>
    <row r="174" spans="2:3" x14ac:dyDescent="0.25">
      <c r="B174" s="33"/>
      <c r="C174" s="34"/>
    </row>
    <row r="175" spans="2:3" x14ac:dyDescent="0.25">
      <c r="B175" s="33"/>
      <c r="C175" s="34"/>
    </row>
    <row r="176" spans="2:3" x14ac:dyDescent="0.25">
      <c r="B176" s="33"/>
      <c r="C176" s="34"/>
    </row>
    <row r="177" spans="2:3" x14ac:dyDescent="0.25">
      <c r="B177" s="33"/>
      <c r="C177" s="34"/>
    </row>
    <row r="178" spans="2:3" x14ac:dyDescent="0.25">
      <c r="B178" s="33"/>
      <c r="C178" s="34"/>
    </row>
    <row r="179" spans="2:3" x14ac:dyDescent="0.25">
      <c r="B179" s="33"/>
      <c r="C179" s="34"/>
    </row>
    <row r="180" spans="2:3" x14ac:dyDescent="0.25">
      <c r="B180" s="33"/>
      <c r="C180" s="34"/>
    </row>
    <row r="181" spans="2:3" x14ac:dyDescent="0.25">
      <c r="B181" s="33"/>
      <c r="C181" s="34"/>
    </row>
    <row r="182" spans="2:3" x14ac:dyDescent="0.25">
      <c r="B182" s="33"/>
      <c r="C182" s="34"/>
    </row>
    <row r="183" spans="2:3" x14ac:dyDescent="0.25">
      <c r="B183" s="33"/>
      <c r="C183" s="34"/>
    </row>
    <row r="184" spans="2:3" x14ac:dyDescent="0.25">
      <c r="B184" s="33"/>
      <c r="C184" s="34"/>
    </row>
    <row r="185" spans="2:3" x14ac:dyDescent="0.25">
      <c r="B185" s="33"/>
      <c r="C185" s="34"/>
    </row>
    <row r="186" spans="2:3" x14ac:dyDescent="0.25">
      <c r="B186" s="33"/>
      <c r="C186" s="34"/>
    </row>
    <row r="187" spans="2:3" x14ac:dyDescent="0.25">
      <c r="B187" s="33"/>
      <c r="C187" s="34"/>
    </row>
    <row r="188" spans="2:3" x14ac:dyDescent="0.25">
      <c r="B188" s="33"/>
      <c r="C188" s="34"/>
    </row>
    <row r="189" spans="2:3" x14ac:dyDescent="0.25">
      <c r="B189" s="33"/>
      <c r="C189" s="34"/>
    </row>
    <row r="190" spans="2:3" x14ac:dyDescent="0.25">
      <c r="B190" s="33"/>
      <c r="C190" s="34"/>
    </row>
    <row r="191" spans="2:3" x14ac:dyDescent="0.25">
      <c r="B191" s="33"/>
      <c r="C191" s="34"/>
    </row>
    <row r="192" spans="2:3" x14ac:dyDescent="0.25">
      <c r="B192" s="33"/>
      <c r="C192" s="34"/>
    </row>
    <row r="193" spans="2:3" x14ac:dyDescent="0.25">
      <c r="B193" s="33"/>
      <c r="C193" s="34"/>
    </row>
    <row r="194" spans="2:3" x14ac:dyDescent="0.25">
      <c r="B194" s="33"/>
      <c r="C194" s="34"/>
    </row>
    <row r="195" spans="2:3" x14ac:dyDescent="0.25">
      <c r="B195" s="33"/>
      <c r="C195" s="34"/>
    </row>
    <row r="196" spans="2:3" x14ac:dyDescent="0.25">
      <c r="B196" s="33"/>
      <c r="C196" s="34"/>
    </row>
    <row r="197" spans="2:3" x14ac:dyDescent="0.25">
      <c r="B197" s="33"/>
      <c r="C197" s="34"/>
    </row>
    <row r="198" spans="2:3" x14ac:dyDescent="0.25">
      <c r="B198" s="33"/>
      <c r="C198" s="34"/>
    </row>
    <row r="199" spans="2:3" x14ac:dyDescent="0.25">
      <c r="B199" s="33"/>
      <c r="C199" s="34"/>
    </row>
    <row r="200" spans="2:3" x14ac:dyDescent="0.25">
      <c r="B200" s="33"/>
      <c r="C200" s="34"/>
    </row>
    <row r="201" spans="2:3" x14ac:dyDescent="0.25">
      <c r="B201" s="33"/>
      <c r="C201" s="34"/>
    </row>
    <row r="202" spans="2:3" x14ac:dyDescent="0.25">
      <c r="B202" s="33"/>
      <c r="C202" s="34"/>
    </row>
    <row r="203" spans="2:3" x14ac:dyDescent="0.25">
      <c r="B203" s="33"/>
      <c r="C203" s="34"/>
    </row>
    <row r="204" spans="2:3" x14ac:dyDescent="0.25">
      <c r="B204" s="33"/>
      <c r="C204" s="34"/>
    </row>
    <row r="205" spans="2:3" x14ac:dyDescent="0.25">
      <c r="B205" s="33"/>
      <c r="C205" s="34"/>
    </row>
    <row r="206" spans="2:3" x14ac:dyDescent="0.25">
      <c r="B206" s="33"/>
      <c r="C206" s="34"/>
    </row>
    <row r="207" spans="2:3" x14ac:dyDescent="0.25">
      <c r="B207" s="33"/>
      <c r="C207" s="34"/>
    </row>
    <row r="208" spans="2:3" x14ac:dyDescent="0.25">
      <c r="B208" s="33"/>
      <c r="C208" s="34"/>
    </row>
    <row r="209" spans="2:3" x14ac:dyDescent="0.25">
      <c r="B209" s="33"/>
      <c r="C209" s="34"/>
    </row>
    <row r="210" spans="2:3" x14ac:dyDescent="0.25">
      <c r="B210" s="33"/>
      <c r="C210" s="34"/>
    </row>
    <row r="211" spans="2:3" x14ac:dyDescent="0.25">
      <c r="B211" s="33"/>
      <c r="C211" s="34"/>
    </row>
    <row r="212" spans="2:3" x14ac:dyDescent="0.25">
      <c r="B212" s="33"/>
      <c r="C212" s="34"/>
    </row>
    <row r="213" spans="2:3" x14ac:dyDescent="0.25">
      <c r="B213" s="33"/>
      <c r="C213" s="34"/>
    </row>
    <row r="214" spans="2:3" x14ac:dyDescent="0.25">
      <c r="B214" s="33"/>
      <c r="C214" s="34"/>
    </row>
    <row r="215" spans="2:3" x14ac:dyDescent="0.25">
      <c r="B215" s="33"/>
      <c r="C215" s="34"/>
    </row>
    <row r="216" spans="2:3" x14ac:dyDescent="0.25">
      <c r="B216" s="33"/>
      <c r="C216" s="34"/>
    </row>
    <row r="217" spans="2:3" x14ac:dyDescent="0.25">
      <c r="B217" s="33"/>
      <c r="C217" s="34"/>
    </row>
    <row r="218" spans="2:3" x14ac:dyDescent="0.25">
      <c r="B218" s="33"/>
      <c r="C218" s="34"/>
    </row>
    <row r="219" spans="2:3" x14ac:dyDescent="0.25">
      <c r="B219" s="33"/>
      <c r="C219" s="34"/>
    </row>
    <row r="220" spans="2:3" x14ac:dyDescent="0.25">
      <c r="B220" s="33"/>
      <c r="C220" s="34"/>
    </row>
    <row r="221" spans="2:3" x14ac:dyDescent="0.25">
      <c r="B221" s="33"/>
      <c r="C221" s="34"/>
    </row>
    <row r="222" spans="2:3" x14ac:dyDescent="0.25">
      <c r="B222" s="33"/>
      <c r="C222" s="34"/>
    </row>
    <row r="223" spans="2:3" x14ac:dyDescent="0.25">
      <c r="B223" s="33"/>
      <c r="C223" s="34"/>
    </row>
    <row r="224" spans="2:3" x14ac:dyDescent="0.25">
      <c r="B224" s="33"/>
      <c r="C224" s="34"/>
    </row>
    <row r="225" spans="2:3" x14ac:dyDescent="0.25">
      <c r="B225" s="33"/>
      <c r="C225" s="34"/>
    </row>
    <row r="226" spans="2:3" x14ac:dyDescent="0.25">
      <c r="B226" s="33"/>
      <c r="C226" s="34"/>
    </row>
    <row r="227" spans="2:3" x14ac:dyDescent="0.25">
      <c r="B227" s="33"/>
      <c r="C227" s="34"/>
    </row>
    <row r="228" spans="2:3" x14ac:dyDescent="0.25">
      <c r="B228" s="33"/>
      <c r="C228" s="34"/>
    </row>
    <row r="229" spans="2:3" x14ac:dyDescent="0.25">
      <c r="B229" s="33"/>
      <c r="C229" s="34"/>
    </row>
    <row r="230" spans="2:3" x14ac:dyDescent="0.25">
      <c r="B230" s="33"/>
      <c r="C230" s="34"/>
    </row>
    <row r="231" spans="2:3" x14ac:dyDescent="0.25">
      <c r="B231" s="33"/>
      <c r="C231" s="34"/>
    </row>
    <row r="232" spans="2:3" x14ac:dyDescent="0.25">
      <c r="B232" s="33"/>
      <c r="C232" s="34"/>
    </row>
    <row r="233" spans="2:3" x14ac:dyDescent="0.25">
      <c r="B233" s="33"/>
      <c r="C233" s="34"/>
    </row>
    <row r="234" spans="2:3" x14ac:dyDescent="0.25">
      <c r="B234" s="33"/>
      <c r="C234" s="34"/>
    </row>
    <row r="235" spans="2:3" x14ac:dyDescent="0.25">
      <c r="B235" s="33"/>
      <c r="C235" s="34"/>
    </row>
    <row r="236" spans="2:3" x14ac:dyDescent="0.25">
      <c r="B236" s="33"/>
      <c r="C236" s="34"/>
    </row>
    <row r="237" spans="2:3" x14ac:dyDescent="0.25">
      <c r="B237" s="33"/>
      <c r="C237" s="34"/>
    </row>
    <row r="238" spans="2:3" x14ac:dyDescent="0.25">
      <c r="B238" s="33"/>
      <c r="C238" s="34"/>
    </row>
    <row r="239" spans="2:3" x14ac:dyDescent="0.25">
      <c r="B239" s="33"/>
      <c r="C239" s="34"/>
    </row>
    <row r="240" spans="2:3" x14ac:dyDescent="0.25">
      <c r="B240" s="33"/>
      <c r="C240" s="34"/>
    </row>
    <row r="241" spans="2:3" x14ac:dyDescent="0.25">
      <c r="B241" s="33"/>
      <c r="C241" s="34"/>
    </row>
    <row r="242" spans="2:3" x14ac:dyDescent="0.25">
      <c r="B242" s="33"/>
      <c r="C242" s="34"/>
    </row>
    <row r="243" spans="2:3" x14ac:dyDescent="0.25">
      <c r="B243" s="33"/>
      <c r="C243" s="34"/>
    </row>
    <row r="244" spans="2:3" x14ac:dyDescent="0.25">
      <c r="B244" s="33"/>
      <c r="C244" s="34"/>
    </row>
    <row r="245" spans="2:3" x14ac:dyDescent="0.25">
      <c r="B245" s="33"/>
      <c r="C245" s="34"/>
    </row>
    <row r="246" spans="2:3" x14ac:dyDescent="0.25">
      <c r="B246" s="33"/>
      <c r="C246" s="34"/>
    </row>
    <row r="247" spans="2:3" x14ac:dyDescent="0.25">
      <c r="B247" s="33"/>
      <c r="C247" s="34"/>
    </row>
    <row r="248" spans="2:3" x14ac:dyDescent="0.25">
      <c r="B248" s="33"/>
      <c r="C248" s="34"/>
    </row>
    <row r="249" spans="2:3" x14ac:dyDescent="0.25">
      <c r="B249" s="33"/>
      <c r="C249" s="34"/>
    </row>
    <row r="250" spans="2:3" x14ac:dyDescent="0.25">
      <c r="B250" s="33"/>
      <c r="C250" s="34"/>
    </row>
    <row r="251" spans="2:3" x14ac:dyDescent="0.25">
      <c r="B251" s="33"/>
      <c r="C251" s="34"/>
    </row>
    <row r="252" spans="2:3" x14ac:dyDescent="0.25">
      <c r="B252" s="33"/>
      <c r="C252" s="34"/>
    </row>
    <row r="253" spans="2:3" x14ac:dyDescent="0.25">
      <c r="B253" s="33"/>
      <c r="C253" s="34"/>
    </row>
    <row r="254" spans="2:3" x14ac:dyDescent="0.25">
      <c r="B254" s="33"/>
      <c r="C254" s="34"/>
    </row>
    <row r="255" spans="2:3" x14ac:dyDescent="0.25">
      <c r="B255" s="33"/>
      <c r="C255" s="34"/>
    </row>
    <row r="256" spans="2:3" x14ac:dyDescent="0.25">
      <c r="B256" s="33"/>
      <c r="C256" s="34"/>
    </row>
    <row r="257" spans="2:3" x14ac:dyDescent="0.25">
      <c r="B257" s="33"/>
      <c r="C257" s="34"/>
    </row>
    <row r="258" spans="2:3" x14ac:dyDescent="0.25">
      <c r="B258" s="33"/>
      <c r="C258" s="34"/>
    </row>
    <row r="259" spans="2:3" x14ac:dyDescent="0.25">
      <c r="B259" s="33"/>
      <c r="C259" s="34"/>
    </row>
    <row r="260" spans="2:3" x14ac:dyDescent="0.25">
      <c r="B260" s="33"/>
      <c r="C260" s="34"/>
    </row>
    <row r="261" spans="2:3" x14ac:dyDescent="0.25">
      <c r="B261" s="33"/>
      <c r="C261" s="34"/>
    </row>
    <row r="262" spans="2:3" x14ac:dyDescent="0.25">
      <c r="B262" s="33"/>
      <c r="C262" s="34"/>
    </row>
    <row r="263" spans="2:3" x14ac:dyDescent="0.25">
      <c r="B263" s="33"/>
      <c r="C263" s="34"/>
    </row>
    <row r="264" spans="2:3" x14ac:dyDescent="0.25">
      <c r="B264" s="33"/>
      <c r="C264" s="34"/>
    </row>
    <row r="265" spans="2:3" x14ac:dyDescent="0.25">
      <c r="B265" s="33"/>
      <c r="C265" s="34"/>
    </row>
    <row r="266" spans="2:3" x14ac:dyDescent="0.25">
      <c r="B266" s="33"/>
      <c r="C266" s="34"/>
    </row>
    <row r="267" spans="2:3" x14ac:dyDescent="0.25">
      <c r="B267" s="33"/>
      <c r="C267" s="34"/>
    </row>
    <row r="268" spans="2:3" x14ac:dyDescent="0.25">
      <c r="B268" s="33"/>
      <c r="C268" s="34"/>
    </row>
    <row r="269" spans="2:3" x14ac:dyDescent="0.25">
      <c r="B269" s="33"/>
      <c r="C269" s="34"/>
    </row>
    <row r="270" spans="2:3" x14ac:dyDescent="0.25">
      <c r="B270" s="33"/>
      <c r="C270" s="34"/>
    </row>
    <row r="271" spans="2:3" x14ac:dyDescent="0.25">
      <c r="B271" s="33"/>
      <c r="C271" s="34"/>
    </row>
    <row r="272" spans="2:3" x14ac:dyDescent="0.25">
      <c r="B272" s="33"/>
      <c r="C272" s="34"/>
    </row>
    <row r="273" spans="2:3" x14ac:dyDescent="0.25">
      <c r="B273" s="33"/>
      <c r="C273" s="34"/>
    </row>
    <row r="274" spans="2:3" x14ac:dyDescent="0.25">
      <c r="B274" s="33"/>
      <c r="C274" s="34"/>
    </row>
    <row r="275" spans="2:3" x14ac:dyDescent="0.25">
      <c r="B275" s="33"/>
      <c r="C275" s="34"/>
    </row>
    <row r="276" spans="2:3" x14ac:dyDescent="0.25">
      <c r="B276" s="33"/>
      <c r="C276" s="34"/>
    </row>
    <row r="277" spans="2:3" x14ac:dyDescent="0.25">
      <c r="B277" s="33"/>
      <c r="C277" s="34"/>
    </row>
    <row r="278" spans="2:3" x14ac:dyDescent="0.25">
      <c r="B278" s="33"/>
      <c r="C278" s="34"/>
    </row>
    <row r="279" spans="2:3" x14ac:dyDescent="0.25">
      <c r="B279" s="33"/>
      <c r="C279" s="34"/>
    </row>
    <row r="280" spans="2:3" x14ac:dyDescent="0.25">
      <c r="B280" s="33"/>
      <c r="C280" s="34"/>
    </row>
    <row r="281" spans="2:3" x14ac:dyDescent="0.25">
      <c r="B281" s="33"/>
      <c r="C281" s="34"/>
    </row>
    <row r="282" spans="2:3" x14ac:dyDescent="0.25">
      <c r="B282" s="33"/>
      <c r="C282" s="34"/>
    </row>
    <row r="283" spans="2:3" x14ac:dyDescent="0.25">
      <c r="B283" s="33"/>
      <c r="C283" s="34"/>
    </row>
    <row r="284" spans="2:3" x14ac:dyDescent="0.25">
      <c r="B284" s="33"/>
      <c r="C284" s="34"/>
    </row>
    <row r="285" spans="2:3" x14ac:dyDescent="0.25">
      <c r="B285" s="33"/>
      <c r="C285" s="34"/>
    </row>
    <row r="286" spans="2:3" x14ac:dyDescent="0.25">
      <c r="B286" s="33"/>
      <c r="C286" s="34"/>
    </row>
    <row r="287" spans="2:3" x14ac:dyDescent="0.25">
      <c r="B287" s="33"/>
      <c r="C287" s="34"/>
    </row>
    <row r="288" spans="2:3" x14ac:dyDescent="0.25">
      <c r="B288" s="33"/>
      <c r="C288" s="34"/>
    </row>
    <row r="289" spans="2:3" x14ac:dyDescent="0.25">
      <c r="B289" s="33"/>
      <c r="C289" s="34"/>
    </row>
    <row r="290" spans="2:3" x14ac:dyDescent="0.25">
      <c r="B290" s="33"/>
      <c r="C290" s="34"/>
    </row>
    <row r="291" spans="2:3" x14ac:dyDescent="0.25">
      <c r="B291" s="33"/>
      <c r="C291" s="34"/>
    </row>
    <row r="292" spans="2:3" x14ac:dyDescent="0.25">
      <c r="B292" s="33"/>
      <c r="C292" s="34"/>
    </row>
    <row r="293" spans="2:3" x14ac:dyDescent="0.25">
      <c r="B293" s="33"/>
      <c r="C293" s="34"/>
    </row>
    <row r="294" spans="2:3" x14ac:dyDescent="0.25">
      <c r="B294" s="33"/>
      <c r="C294" s="34"/>
    </row>
    <row r="295" spans="2:3" x14ac:dyDescent="0.25">
      <c r="B295" s="33"/>
      <c r="C295" s="34"/>
    </row>
    <row r="296" spans="2:3" x14ac:dyDescent="0.25">
      <c r="B296" s="33"/>
      <c r="C296" s="34"/>
    </row>
    <row r="297" spans="2:3" x14ac:dyDescent="0.25">
      <c r="B297" s="33"/>
      <c r="C297" s="34"/>
    </row>
    <row r="298" spans="2:3" x14ac:dyDescent="0.25">
      <c r="B298" s="33"/>
      <c r="C298" s="34"/>
    </row>
    <row r="299" spans="2:3" x14ac:dyDescent="0.25">
      <c r="B299" s="33"/>
      <c r="C299" s="34"/>
    </row>
    <row r="300" spans="2:3" x14ac:dyDescent="0.25">
      <c r="B300" s="33"/>
      <c r="C300" s="34"/>
    </row>
    <row r="301" spans="2:3" x14ac:dyDescent="0.25">
      <c r="B301" s="33"/>
      <c r="C301" s="34"/>
    </row>
    <row r="302" spans="2:3" x14ac:dyDescent="0.25">
      <c r="B302" s="33"/>
      <c r="C302" s="34"/>
    </row>
    <row r="303" spans="2:3" x14ac:dyDescent="0.25">
      <c r="B303" s="33"/>
      <c r="C303" s="34"/>
    </row>
    <row r="304" spans="2:3" x14ac:dyDescent="0.25">
      <c r="B304" s="33"/>
      <c r="C304" s="34"/>
    </row>
    <row r="305" spans="2:3" x14ac:dyDescent="0.25">
      <c r="B305" s="33"/>
      <c r="C305" s="34"/>
    </row>
    <row r="306" spans="2:3" x14ac:dyDescent="0.25">
      <c r="B306" s="33"/>
      <c r="C306" s="34"/>
    </row>
    <row r="307" spans="2:3" x14ac:dyDescent="0.25">
      <c r="B307" s="33"/>
      <c r="C307" s="34"/>
    </row>
    <row r="308" spans="2:3" x14ac:dyDescent="0.25">
      <c r="B308" s="33"/>
      <c r="C308" s="34"/>
    </row>
    <row r="309" spans="2:3" x14ac:dyDescent="0.25">
      <c r="B309" s="33"/>
      <c r="C309" s="34"/>
    </row>
    <row r="310" spans="2:3" x14ac:dyDescent="0.25">
      <c r="B310" s="33"/>
      <c r="C310" s="34"/>
    </row>
    <row r="311" spans="2:3" x14ac:dyDescent="0.25">
      <c r="B311" s="33"/>
      <c r="C311" s="34"/>
    </row>
    <row r="312" spans="2:3" x14ac:dyDescent="0.25">
      <c r="B312" s="33"/>
      <c r="C312" s="34"/>
    </row>
    <row r="313" spans="2:3" x14ac:dyDescent="0.25">
      <c r="B313" s="33"/>
      <c r="C313" s="34"/>
    </row>
    <row r="314" spans="2:3" x14ac:dyDescent="0.25">
      <c r="B314" s="33"/>
      <c r="C314" s="34"/>
    </row>
    <row r="315" spans="2:3" x14ac:dyDescent="0.25">
      <c r="B315" s="33"/>
      <c r="C315" s="34"/>
    </row>
    <row r="316" spans="2:3" x14ac:dyDescent="0.25">
      <c r="B316" s="33"/>
      <c r="C316" s="34"/>
    </row>
    <row r="317" spans="2:3" x14ac:dyDescent="0.25">
      <c r="B317" s="33"/>
      <c r="C317" s="34"/>
    </row>
    <row r="318" spans="2:3" x14ac:dyDescent="0.25">
      <c r="B318" s="33"/>
      <c r="C318" s="34"/>
    </row>
    <row r="319" spans="2:3" x14ac:dyDescent="0.25">
      <c r="B319" s="33"/>
      <c r="C319" s="34"/>
    </row>
    <row r="320" spans="2:3" x14ac:dyDescent="0.25">
      <c r="B320" s="33"/>
      <c r="C320" s="34"/>
    </row>
    <row r="321" spans="2:3" x14ac:dyDescent="0.25">
      <c r="B321" s="33"/>
      <c r="C321" s="34"/>
    </row>
    <row r="322" spans="2:3" x14ac:dyDescent="0.25">
      <c r="B322" s="33"/>
      <c r="C322" s="34"/>
    </row>
    <row r="323" spans="2:3" x14ac:dyDescent="0.25">
      <c r="B323" s="33"/>
      <c r="C323" s="34"/>
    </row>
    <row r="324" spans="2:3" x14ac:dyDescent="0.25">
      <c r="B324" s="33"/>
      <c r="C324" s="34"/>
    </row>
    <row r="325" spans="2:3" x14ac:dyDescent="0.25">
      <c r="B325" s="33"/>
      <c r="C325" s="34"/>
    </row>
    <row r="326" spans="2:3" x14ac:dyDescent="0.25">
      <c r="B326" s="33"/>
      <c r="C326" s="34"/>
    </row>
    <row r="327" spans="2:3" x14ac:dyDescent="0.25">
      <c r="B327" s="33"/>
      <c r="C327" s="34"/>
    </row>
    <row r="328" spans="2:3" x14ac:dyDescent="0.25">
      <c r="B328" s="33"/>
      <c r="C328" s="34"/>
    </row>
    <row r="329" spans="2:3" x14ac:dyDescent="0.25">
      <c r="B329" s="33"/>
      <c r="C329" s="34"/>
    </row>
    <row r="330" spans="2:3" x14ac:dyDescent="0.25">
      <c r="B330" s="33"/>
      <c r="C330" s="34"/>
    </row>
    <row r="331" spans="2:3" x14ac:dyDescent="0.25">
      <c r="B331" s="33"/>
      <c r="C331" s="34"/>
    </row>
    <row r="332" spans="2:3" x14ac:dyDescent="0.25">
      <c r="B332" s="33"/>
      <c r="C332" s="34"/>
    </row>
    <row r="333" spans="2:3" x14ac:dyDescent="0.25">
      <c r="B333" s="33"/>
      <c r="C333" s="34"/>
    </row>
    <row r="334" spans="2:3" x14ac:dyDescent="0.25">
      <c r="B334" s="33"/>
      <c r="C334" s="34"/>
    </row>
    <row r="335" spans="2:3" x14ac:dyDescent="0.25">
      <c r="B335" s="33"/>
      <c r="C335" s="34"/>
    </row>
    <row r="336" spans="2:3" x14ac:dyDescent="0.25">
      <c r="B336" s="33"/>
      <c r="C336" s="34"/>
    </row>
    <row r="337" spans="2:3" x14ac:dyDescent="0.25">
      <c r="B337" s="33"/>
      <c r="C337" s="34"/>
    </row>
    <row r="338" spans="2:3" x14ac:dyDescent="0.25">
      <c r="B338" s="33"/>
      <c r="C338" s="34"/>
    </row>
    <row r="339" spans="2:3" x14ac:dyDescent="0.25">
      <c r="B339" s="33"/>
      <c r="C339" s="34"/>
    </row>
    <row r="340" spans="2:3" x14ac:dyDescent="0.25">
      <c r="B340" s="33"/>
      <c r="C340" s="34"/>
    </row>
    <row r="341" spans="2:3" x14ac:dyDescent="0.25">
      <c r="B341" s="33"/>
      <c r="C341" s="34"/>
    </row>
    <row r="342" spans="2:3" x14ac:dyDescent="0.25">
      <c r="B342" s="33"/>
      <c r="C342" s="34"/>
    </row>
    <row r="343" spans="2:3" x14ac:dyDescent="0.25">
      <c r="B343" s="33"/>
      <c r="C343" s="34"/>
    </row>
    <row r="344" spans="2:3" x14ac:dyDescent="0.25">
      <c r="B344" s="33"/>
      <c r="C344" s="34"/>
    </row>
    <row r="345" spans="2:3" x14ac:dyDescent="0.25">
      <c r="B345" s="33"/>
      <c r="C345" s="34"/>
    </row>
    <row r="346" spans="2:3" x14ac:dyDescent="0.25">
      <c r="B346" s="33"/>
      <c r="C346" s="34"/>
    </row>
    <row r="347" spans="2:3" x14ac:dyDescent="0.25">
      <c r="B347" s="33"/>
      <c r="C347" s="34"/>
    </row>
    <row r="348" spans="2:3" x14ac:dyDescent="0.25">
      <c r="B348" s="33"/>
      <c r="C348" s="34"/>
    </row>
    <row r="349" spans="2:3" x14ac:dyDescent="0.25">
      <c r="B349" s="33"/>
      <c r="C349" s="34"/>
    </row>
    <row r="350" spans="2:3" x14ac:dyDescent="0.25">
      <c r="B350" s="33"/>
      <c r="C350" s="34"/>
    </row>
    <row r="351" spans="2:3" x14ac:dyDescent="0.25">
      <c r="B351" s="33"/>
      <c r="C351" s="34"/>
    </row>
    <row r="352" spans="2:3" x14ac:dyDescent="0.25">
      <c r="B352" s="33"/>
      <c r="C352" s="34"/>
    </row>
    <row r="353" spans="2:3" x14ac:dyDescent="0.25">
      <c r="B353" s="33"/>
      <c r="C353" s="34"/>
    </row>
    <row r="354" spans="2:3" x14ac:dyDescent="0.25">
      <c r="B354" s="33"/>
      <c r="C354" s="34"/>
    </row>
    <row r="355" spans="2:3" x14ac:dyDescent="0.25">
      <c r="B355" s="33"/>
      <c r="C355" s="34"/>
    </row>
    <row r="356" spans="2:3" x14ac:dyDescent="0.25">
      <c r="B356" s="33"/>
      <c r="C356" s="34"/>
    </row>
    <row r="357" spans="2:3" x14ac:dyDescent="0.25">
      <c r="B357" s="33"/>
      <c r="C357" s="34"/>
    </row>
    <row r="358" spans="2:3" x14ac:dyDescent="0.25">
      <c r="B358" s="33"/>
      <c r="C358" s="34"/>
    </row>
    <row r="359" spans="2:3" x14ac:dyDescent="0.25">
      <c r="B359" s="33"/>
      <c r="C359" s="34"/>
    </row>
    <row r="360" spans="2:3" x14ac:dyDescent="0.25">
      <c r="B360" s="33"/>
      <c r="C360" s="34"/>
    </row>
    <row r="361" spans="2:3" x14ac:dyDescent="0.25">
      <c r="B361" s="33"/>
      <c r="C361" s="34"/>
    </row>
    <row r="362" spans="2:3" x14ac:dyDescent="0.25">
      <c r="B362" s="33"/>
      <c r="C362" s="34"/>
    </row>
    <row r="363" spans="2:3" x14ac:dyDescent="0.25">
      <c r="B363" s="33"/>
      <c r="C363" s="34"/>
    </row>
    <row r="364" spans="2:3" x14ac:dyDescent="0.25">
      <c r="B364" s="33"/>
      <c r="C364" s="34"/>
    </row>
    <row r="365" spans="2:3" x14ac:dyDescent="0.25">
      <c r="B365" s="33"/>
      <c r="C365" s="34"/>
    </row>
    <row r="366" spans="2:3" x14ac:dyDescent="0.25">
      <c r="B366" s="33"/>
      <c r="C366" s="34"/>
    </row>
    <row r="367" spans="2:3" x14ac:dyDescent="0.25">
      <c r="B367" s="33"/>
      <c r="C367" s="34"/>
    </row>
    <row r="368" spans="2:3" x14ac:dyDescent="0.25">
      <c r="B368" s="33"/>
      <c r="C368" s="34"/>
    </row>
    <row r="369" spans="2:3" x14ac:dyDescent="0.25">
      <c r="B369" s="33"/>
      <c r="C369" s="34"/>
    </row>
    <row r="370" spans="2:3" x14ac:dyDescent="0.25">
      <c r="B370" s="33"/>
      <c r="C370" s="34"/>
    </row>
    <row r="371" spans="2:3" x14ac:dyDescent="0.25">
      <c r="B371" s="33"/>
      <c r="C371" s="34"/>
    </row>
    <row r="372" spans="2:3" x14ac:dyDescent="0.25">
      <c r="B372" s="33"/>
      <c r="C372" s="34"/>
    </row>
    <row r="373" spans="2:3" x14ac:dyDescent="0.25">
      <c r="B373" s="33"/>
      <c r="C373" s="34"/>
    </row>
    <row r="374" spans="2:3" x14ac:dyDescent="0.25">
      <c r="B374" s="33"/>
      <c r="C374" s="34"/>
    </row>
    <row r="375" spans="2:3" x14ac:dyDescent="0.25">
      <c r="B375" s="33"/>
      <c r="C375" s="34"/>
    </row>
    <row r="376" spans="2:3" x14ac:dyDescent="0.25">
      <c r="B376" s="33"/>
      <c r="C376" s="34"/>
    </row>
    <row r="377" spans="2:3" x14ac:dyDescent="0.25">
      <c r="B377" s="33"/>
      <c r="C377" s="34"/>
    </row>
    <row r="378" spans="2:3" x14ac:dyDescent="0.25">
      <c r="B378" s="33"/>
      <c r="C378" s="34"/>
    </row>
    <row r="379" spans="2:3" x14ac:dyDescent="0.25">
      <c r="B379" s="33"/>
      <c r="C379" s="34"/>
    </row>
    <row r="380" spans="2:3" x14ac:dyDescent="0.25">
      <c r="B380" s="33"/>
      <c r="C380" s="34"/>
    </row>
    <row r="381" spans="2:3" x14ac:dyDescent="0.25">
      <c r="B381" s="33"/>
      <c r="C381" s="34"/>
    </row>
    <row r="382" spans="2:3" x14ac:dyDescent="0.25">
      <c r="B382" s="33"/>
      <c r="C382" s="34"/>
    </row>
    <row r="383" spans="2:3" x14ac:dyDescent="0.25">
      <c r="B383" s="33"/>
      <c r="C383" s="34"/>
    </row>
    <row r="384" spans="2:3" x14ac:dyDescent="0.25">
      <c r="B384" s="33"/>
      <c r="C384" s="34"/>
    </row>
    <row r="385" spans="2:3" x14ac:dyDescent="0.25">
      <c r="B385" s="33"/>
      <c r="C385" s="34"/>
    </row>
    <row r="386" spans="2:3" x14ac:dyDescent="0.25">
      <c r="B386" s="33"/>
      <c r="C386" s="34"/>
    </row>
    <row r="387" spans="2:3" x14ac:dyDescent="0.25">
      <c r="B387" s="33"/>
      <c r="C387" s="34"/>
    </row>
    <row r="388" spans="2:3" x14ac:dyDescent="0.25">
      <c r="B388" s="33"/>
      <c r="C388" s="34"/>
    </row>
    <row r="389" spans="2:3" x14ac:dyDescent="0.25">
      <c r="B389" s="33"/>
      <c r="C389" s="34"/>
    </row>
    <row r="390" spans="2:3" x14ac:dyDescent="0.25">
      <c r="B390" s="33"/>
      <c r="C390" s="34"/>
    </row>
    <row r="391" spans="2:3" x14ac:dyDescent="0.25">
      <c r="B391" s="33"/>
      <c r="C391" s="34"/>
    </row>
    <row r="392" spans="2:3" x14ac:dyDescent="0.25">
      <c r="B392" s="33"/>
      <c r="C392" s="34"/>
    </row>
    <row r="393" spans="2:3" x14ac:dyDescent="0.25">
      <c r="B393" s="33"/>
      <c r="C393" s="34"/>
    </row>
    <row r="394" spans="2:3" x14ac:dyDescent="0.25">
      <c r="B394" s="33"/>
      <c r="C394" s="34"/>
    </row>
    <row r="395" spans="2:3" x14ac:dyDescent="0.25">
      <c r="B395" s="33"/>
      <c r="C395" s="34"/>
    </row>
    <row r="396" spans="2:3" x14ac:dyDescent="0.25">
      <c r="B396" s="33"/>
      <c r="C396" s="34"/>
    </row>
    <row r="397" spans="2:3" x14ac:dyDescent="0.25">
      <c r="B397" s="33"/>
      <c r="C397" s="34"/>
    </row>
    <row r="398" spans="2:3" x14ac:dyDescent="0.25">
      <c r="B398" s="33"/>
      <c r="C398" s="34"/>
    </row>
    <row r="399" spans="2:3" x14ac:dyDescent="0.25">
      <c r="B399" s="33"/>
      <c r="C399" s="34"/>
    </row>
    <row r="400" spans="2:3" x14ac:dyDescent="0.25">
      <c r="B400" s="33"/>
      <c r="C400" s="34"/>
    </row>
    <row r="401" spans="2:3" x14ac:dyDescent="0.25">
      <c r="B401" s="33"/>
      <c r="C401" s="34"/>
    </row>
    <row r="402" spans="2:3" x14ac:dyDescent="0.25">
      <c r="B402" s="33"/>
      <c r="C402" s="34"/>
    </row>
    <row r="403" spans="2:3" x14ac:dyDescent="0.25">
      <c r="B403" s="33"/>
      <c r="C403" s="34"/>
    </row>
    <row r="404" spans="2:3" x14ac:dyDescent="0.25">
      <c r="B404" s="33"/>
      <c r="C404" s="34"/>
    </row>
    <row r="405" spans="2:3" x14ac:dyDescent="0.25">
      <c r="B405" s="33"/>
      <c r="C405" s="34"/>
    </row>
    <row r="406" spans="2:3" x14ac:dyDescent="0.25">
      <c r="B406" s="33"/>
      <c r="C406" s="34"/>
    </row>
    <row r="407" spans="2:3" x14ac:dyDescent="0.25">
      <c r="B407" s="33"/>
      <c r="C407" s="34"/>
    </row>
    <row r="408" spans="2:3" x14ac:dyDescent="0.25">
      <c r="B408" s="33"/>
      <c r="C408" s="34"/>
    </row>
    <row r="409" spans="2:3" x14ac:dyDescent="0.25">
      <c r="B409" s="33"/>
      <c r="C409" s="34"/>
    </row>
    <row r="410" spans="2:3" x14ac:dyDescent="0.25">
      <c r="B410" s="33"/>
      <c r="C410" s="34"/>
    </row>
    <row r="411" spans="2:3" x14ac:dyDescent="0.25">
      <c r="B411" s="33"/>
      <c r="C411" s="34"/>
    </row>
    <row r="412" spans="2:3" x14ac:dyDescent="0.25">
      <c r="B412" s="33"/>
      <c r="C412" s="34"/>
    </row>
    <row r="413" spans="2:3" x14ac:dyDescent="0.25">
      <c r="B413" s="33"/>
      <c r="C413" s="34"/>
    </row>
    <row r="414" spans="2:3" x14ac:dyDescent="0.25">
      <c r="B414" s="33"/>
      <c r="C414" s="34"/>
    </row>
    <row r="415" spans="2:3" x14ac:dyDescent="0.25">
      <c r="B415" s="33"/>
      <c r="C415" s="34"/>
    </row>
    <row r="416" spans="2:3" x14ac:dyDescent="0.25">
      <c r="B416" s="33"/>
      <c r="C416" s="34"/>
    </row>
    <row r="417" spans="2:3" x14ac:dyDescent="0.25">
      <c r="B417" s="33"/>
      <c r="C417" s="34"/>
    </row>
    <row r="418" spans="2:3" x14ac:dyDescent="0.25">
      <c r="B418" s="33"/>
      <c r="C418" s="34"/>
    </row>
    <row r="419" spans="2:3" x14ac:dyDescent="0.25">
      <c r="B419" s="33"/>
      <c r="C419" s="34"/>
    </row>
    <row r="420" spans="2:3" x14ac:dyDescent="0.25">
      <c r="B420" s="33"/>
      <c r="C420" s="34"/>
    </row>
    <row r="421" spans="2:3" x14ac:dyDescent="0.25">
      <c r="B421" s="33"/>
      <c r="C421" s="34"/>
    </row>
    <row r="422" spans="2:3" x14ac:dyDescent="0.25">
      <c r="B422" s="33"/>
      <c r="C422" s="34"/>
    </row>
    <row r="423" spans="2:3" x14ac:dyDescent="0.25">
      <c r="B423" s="33"/>
      <c r="C423" s="34"/>
    </row>
    <row r="424" spans="2:3" x14ac:dyDescent="0.25">
      <c r="B424" s="33"/>
      <c r="C424" s="34"/>
    </row>
    <row r="425" spans="2:3" x14ac:dyDescent="0.25">
      <c r="B425" s="33"/>
      <c r="C425" s="34"/>
    </row>
    <row r="426" spans="2:3" x14ac:dyDescent="0.25">
      <c r="B426" s="33"/>
      <c r="C426" s="34"/>
    </row>
    <row r="427" spans="2:3" x14ac:dyDescent="0.25">
      <c r="B427" s="33"/>
      <c r="C427" s="34"/>
    </row>
    <row r="428" spans="2:3" x14ac:dyDescent="0.25">
      <c r="B428" s="33"/>
      <c r="C428" s="34"/>
    </row>
    <row r="429" spans="2:3" x14ac:dyDescent="0.25">
      <c r="B429" s="33"/>
      <c r="C429" s="34"/>
    </row>
    <row r="430" spans="2:3" x14ac:dyDescent="0.25">
      <c r="B430" s="33"/>
      <c r="C430" s="34"/>
    </row>
    <row r="431" spans="2:3" x14ac:dyDescent="0.25">
      <c r="B431" s="33"/>
      <c r="C431" s="34"/>
    </row>
    <row r="432" spans="2:3" x14ac:dyDescent="0.25">
      <c r="B432" s="33"/>
      <c r="C432" s="34"/>
    </row>
    <row r="433" spans="2:3" x14ac:dyDescent="0.25">
      <c r="B433" s="33"/>
      <c r="C433" s="34"/>
    </row>
    <row r="434" spans="2:3" x14ac:dyDescent="0.25">
      <c r="B434" s="33"/>
      <c r="C434" s="34"/>
    </row>
    <row r="435" spans="2:3" x14ac:dyDescent="0.25">
      <c r="B435" s="33"/>
      <c r="C435" s="34"/>
    </row>
    <row r="436" spans="2:3" x14ac:dyDescent="0.25">
      <c r="B436" s="33"/>
      <c r="C436" s="34"/>
    </row>
    <row r="437" spans="2:3" x14ac:dyDescent="0.25">
      <c r="B437" s="33"/>
      <c r="C437" s="34"/>
    </row>
    <row r="438" spans="2:3" x14ac:dyDescent="0.25">
      <c r="B438" s="33"/>
      <c r="C438" s="34"/>
    </row>
    <row r="439" spans="2:3" x14ac:dyDescent="0.25">
      <c r="B439" s="33"/>
      <c r="C439" s="34"/>
    </row>
    <row r="440" spans="2:3" x14ac:dyDescent="0.25">
      <c r="B440" s="33"/>
      <c r="C440" s="34"/>
    </row>
    <row r="441" spans="2:3" x14ac:dyDescent="0.25">
      <c r="B441" s="33"/>
      <c r="C441" s="34"/>
    </row>
    <row r="442" spans="2:3" x14ac:dyDescent="0.25">
      <c r="B442" s="33"/>
      <c r="C442" s="34"/>
    </row>
    <row r="443" spans="2:3" x14ac:dyDescent="0.25">
      <c r="B443" s="33"/>
      <c r="C443" s="34"/>
    </row>
    <row r="444" spans="2:3" x14ac:dyDescent="0.25">
      <c r="B444" s="33"/>
      <c r="C444" s="34"/>
    </row>
    <row r="445" spans="2:3" x14ac:dyDescent="0.25">
      <c r="B445" s="33"/>
      <c r="C445" s="34"/>
    </row>
    <row r="446" spans="2:3" x14ac:dyDescent="0.25">
      <c r="B446" s="33"/>
      <c r="C446" s="34"/>
    </row>
    <row r="447" spans="2:3" x14ac:dyDescent="0.25">
      <c r="B447" s="33"/>
      <c r="C447" s="34"/>
    </row>
    <row r="448" spans="2:3" x14ac:dyDescent="0.25">
      <c r="B448" s="33"/>
      <c r="C448" s="34"/>
    </row>
    <row r="449" spans="2:3" x14ac:dyDescent="0.25">
      <c r="B449" s="33"/>
      <c r="C449" s="34"/>
    </row>
    <row r="450" spans="2:3" x14ac:dyDescent="0.25">
      <c r="B450" s="33"/>
      <c r="C450" s="34"/>
    </row>
    <row r="451" spans="2:3" x14ac:dyDescent="0.25">
      <c r="B451" s="33"/>
      <c r="C451" s="34"/>
    </row>
    <row r="452" spans="2:3" x14ac:dyDescent="0.25">
      <c r="B452" s="33"/>
      <c r="C452" s="34"/>
    </row>
    <row r="453" spans="2:3" x14ac:dyDescent="0.25">
      <c r="B453" s="33"/>
      <c r="C453" s="34"/>
    </row>
    <row r="454" spans="2:3" x14ac:dyDescent="0.25">
      <c r="B454" s="33"/>
      <c r="C454" s="34"/>
    </row>
    <row r="455" spans="2:3" x14ac:dyDescent="0.25">
      <c r="B455" s="33"/>
      <c r="C455" s="34"/>
    </row>
    <row r="456" spans="2:3" x14ac:dyDescent="0.25">
      <c r="B456" s="33"/>
      <c r="C456" s="34"/>
    </row>
    <row r="457" spans="2:3" x14ac:dyDescent="0.25">
      <c r="B457" s="33"/>
      <c r="C457" s="34"/>
    </row>
    <row r="458" spans="2:3" x14ac:dyDescent="0.25">
      <c r="B458" s="33"/>
      <c r="C458" s="34"/>
    </row>
    <row r="459" spans="2:3" x14ac:dyDescent="0.25">
      <c r="B459" s="33"/>
      <c r="C459" s="34"/>
    </row>
    <row r="460" spans="2:3" x14ac:dyDescent="0.25">
      <c r="B460" s="33"/>
      <c r="C460" s="34"/>
    </row>
    <row r="461" spans="2:3" x14ac:dyDescent="0.25">
      <c r="B461" s="33"/>
      <c r="C461" s="34"/>
    </row>
    <row r="462" spans="2:3" x14ac:dyDescent="0.25">
      <c r="B462" s="33"/>
      <c r="C462" s="34"/>
    </row>
    <row r="463" spans="2:3" x14ac:dyDescent="0.25">
      <c r="B463" s="33"/>
      <c r="C463" s="34"/>
    </row>
    <row r="464" spans="2:3" x14ac:dyDescent="0.25">
      <c r="B464" s="33"/>
      <c r="C464" s="34"/>
    </row>
    <row r="465" spans="2:3" x14ac:dyDescent="0.25">
      <c r="B465" s="33"/>
      <c r="C465" s="34"/>
    </row>
    <row r="466" spans="2:3" x14ac:dyDescent="0.25">
      <c r="B466" s="33"/>
      <c r="C466" s="34"/>
    </row>
    <row r="467" spans="2:3" x14ac:dyDescent="0.25">
      <c r="B467" s="33"/>
      <c r="C467" s="34"/>
    </row>
    <row r="468" spans="2:3" x14ac:dyDescent="0.25">
      <c r="B468" s="33"/>
      <c r="C468" s="34"/>
    </row>
    <row r="469" spans="2:3" x14ac:dyDescent="0.25">
      <c r="B469" s="33"/>
      <c r="C469" s="34"/>
    </row>
    <row r="470" spans="2:3" x14ac:dyDescent="0.25">
      <c r="B470" s="33"/>
      <c r="C470" s="34"/>
    </row>
    <row r="471" spans="2:3" x14ac:dyDescent="0.25">
      <c r="B471" s="33"/>
      <c r="C471" s="34"/>
    </row>
    <row r="472" spans="2:3" x14ac:dyDescent="0.25">
      <c r="B472" s="33"/>
      <c r="C472" s="34"/>
    </row>
    <row r="473" spans="2:3" x14ac:dyDescent="0.25">
      <c r="B473" s="33"/>
      <c r="C473" s="34"/>
    </row>
    <row r="474" spans="2:3" x14ac:dyDescent="0.25">
      <c r="B474" s="33"/>
      <c r="C474" s="34"/>
    </row>
    <row r="475" spans="2:3" x14ac:dyDescent="0.25">
      <c r="B475" s="33"/>
      <c r="C475" s="34"/>
    </row>
    <row r="476" spans="2:3" x14ac:dyDescent="0.25">
      <c r="B476" s="33"/>
      <c r="C476" s="34"/>
    </row>
    <row r="477" spans="2:3" x14ac:dyDescent="0.25">
      <c r="B477" s="33"/>
      <c r="C477" s="34"/>
    </row>
    <row r="478" spans="2:3" x14ac:dyDescent="0.25">
      <c r="B478" s="33"/>
      <c r="C478" s="34"/>
    </row>
    <row r="479" spans="2:3" x14ac:dyDescent="0.25">
      <c r="B479" s="33"/>
      <c r="C479" s="34"/>
    </row>
    <row r="480" spans="2:3" x14ac:dyDescent="0.25">
      <c r="B480" s="33"/>
      <c r="C480" s="34"/>
    </row>
    <row r="481" spans="2:3" x14ac:dyDescent="0.25">
      <c r="B481" s="33"/>
      <c r="C481" s="34"/>
    </row>
    <row r="482" spans="2:3" x14ac:dyDescent="0.25">
      <c r="B482" s="33"/>
      <c r="C482" s="34"/>
    </row>
    <row r="483" spans="2:3" x14ac:dyDescent="0.25">
      <c r="B483" s="33"/>
      <c r="C483" s="34"/>
    </row>
    <row r="484" spans="2:3" x14ac:dyDescent="0.25">
      <c r="B484" s="33"/>
      <c r="C484" s="34"/>
    </row>
    <row r="485" spans="2:3" x14ac:dyDescent="0.25">
      <c r="B485" s="33"/>
      <c r="C485" s="34"/>
    </row>
    <row r="486" spans="2:3" x14ac:dyDescent="0.25">
      <c r="B486" s="33"/>
      <c r="C486" s="34"/>
    </row>
    <row r="487" spans="2:3" x14ac:dyDescent="0.25">
      <c r="B487" s="33"/>
      <c r="C487" s="34"/>
    </row>
    <row r="488" spans="2:3" x14ac:dyDescent="0.25">
      <c r="B488" s="33"/>
      <c r="C488" s="34"/>
    </row>
    <row r="489" spans="2:3" x14ac:dyDescent="0.25">
      <c r="B489" s="33"/>
      <c r="C489" s="34"/>
    </row>
    <row r="490" spans="2:3" x14ac:dyDescent="0.25">
      <c r="B490" s="33"/>
      <c r="C490" s="34"/>
    </row>
    <row r="491" spans="2:3" x14ac:dyDescent="0.25">
      <c r="B491" s="33"/>
      <c r="C491" s="34"/>
    </row>
    <row r="492" spans="2:3" x14ac:dyDescent="0.25">
      <c r="B492" s="33"/>
      <c r="C492" s="34"/>
    </row>
    <row r="493" spans="2:3" x14ac:dyDescent="0.25">
      <c r="B493" s="33"/>
      <c r="C493" s="34"/>
    </row>
    <row r="494" spans="2:3" x14ac:dyDescent="0.25">
      <c r="B494" s="33"/>
      <c r="C494" s="34"/>
    </row>
    <row r="495" spans="2:3" x14ac:dyDescent="0.25">
      <c r="B495" s="33"/>
      <c r="C495" s="34"/>
    </row>
    <row r="496" spans="2:3" x14ac:dyDescent="0.25">
      <c r="B496" s="33"/>
      <c r="C496" s="34"/>
    </row>
    <row r="497" spans="2:3" x14ac:dyDescent="0.25">
      <c r="B497" s="33"/>
      <c r="C497" s="34"/>
    </row>
    <row r="498" spans="2:3" x14ac:dyDescent="0.25">
      <c r="B498" s="33"/>
      <c r="C498" s="34"/>
    </row>
    <row r="499" spans="2:3" x14ac:dyDescent="0.25">
      <c r="B499" s="33"/>
      <c r="C499" s="34"/>
    </row>
    <row r="500" spans="2:3" x14ac:dyDescent="0.25">
      <c r="B500" s="33"/>
      <c r="C500" s="34"/>
    </row>
    <row r="501" spans="2:3" x14ac:dyDescent="0.25">
      <c r="B501" s="33"/>
      <c r="C501" s="34"/>
    </row>
    <row r="502" spans="2:3" x14ac:dyDescent="0.25">
      <c r="B502" s="33"/>
      <c r="C502" s="34"/>
    </row>
    <row r="503" spans="2:3" x14ac:dyDescent="0.25">
      <c r="B503" s="33"/>
      <c r="C503" s="34"/>
    </row>
    <row r="504" spans="2:3" x14ac:dyDescent="0.25">
      <c r="B504" s="33"/>
      <c r="C504" s="34"/>
    </row>
    <row r="505" spans="2:3" x14ac:dyDescent="0.25">
      <c r="B505" s="33"/>
      <c r="C505" s="34"/>
    </row>
    <row r="506" spans="2:3" x14ac:dyDescent="0.25">
      <c r="B506" s="33"/>
      <c r="C506" s="34"/>
    </row>
    <row r="507" spans="2:3" x14ac:dyDescent="0.25">
      <c r="B507" s="33"/>
      <c r="C507" s="34"/>
    </row>
    <row r="508" spans="2:3" x14ac:dyDescent="0.25">
      <c r="B508" s="33"/>
      <c r="C508" s="34"/>
    </row>
    <row r="509" spans="2:3" x14ac:dyDescent="0.25">
      <c r="B509" s="33"/>
      <c r="C509" s="34"/>
    </row>
    <row r="510" spans="2:3" x14ac:dyDescent="0.25">
      <c r="B510" s="33"/>
      <c r="C510" s="34"/>
    </row>
    <row r="511" spans="2:3" x14ac:dyDescent="0.25">
      <c r="B511" s="33"/>
      <c r="C511" s="34"/>
    </row>
    <row r="512" spans="2:3" x14ac:dyDescent="0.25">
      <c r="B512" s="33"/>
      <c r="C512" s="34"/>
    </row>
    <row r="513" spans="2:3" x14ac:dyDescent="0.25">
      <c r="B513" s="33"/>
      <c r="C513" s="34"/>
    </row>
    <row r="514" spans="2:3" x14ac:dyDescent="0.25">
      <c r="B514" s="33"/>
      <c r="C514" s="34"/>
    </row>
    <row r="515" spans="2:3" x14ac:dyDescent="0.25">
      <c r="B515" s="33"/>
      <c r="C515" s="34"/>
    </row>
    <row r="516" spans="2:3" x14ac:dyDescent="0.25">
      <c r="B516" s="33"/>
      <c r="C516" s="34"/>
    </row>
    <row r="517" spans="2:3" x14ac:dyDescent="0.25">
      <c r="B517" s="33"/>
      <c r="C517" s="34"/>
    </row>
    <row r="518" spans="2:3" x14ac:dyDescent="0.25">
      <c r="B518" s="33"/>
      <c r="C518" s="34"/>
    </row>
    <row r="519" spans="2:3" x14ac:dyDescent="0.25">
      <c r="B519" s="33"/>
      <c r="C519" s="34"/>
    </row>
    <row r="520" spans="2:3" x14ac:dyDescent="0.25">
      <c r="B520" s="33"/>
      <c r="C520" s="34"/>
    </row>
    <row r="521" spans="2:3" x14ac:dyDescent="0.25">
      <c r="B521" s="33"/>
      <c r="C521" s="34"/>
    </row>
    <row r="522" spans="2:3" x14ac:dyDescent="0.25">
      <c r="B522" s="33"/>
      <c r="C522" s="34"/>
    </row>
    <row r="523" spans="2:3" x14ac:dyDescent="0.25">
      <c r="B523" s="33"/>
      <c r="C523" s="34"/>
    </row>
    <row r="524" spans="2:3" x14ac:dyDescent="0.25">
      <c r="B524" s="33"/>
      <c r="C524" s="34"/>
    </row>
    <row r="525" spans="2:3" x14ac:dyDescent="0.25">
      <c r="B525" s="33"/>
      <c r="C525" s="34"/>
    </row>
    <row r="526" spans="2:3" x14ac:dyDescent="0.25">
      <c r="B526" s="33"/>
      <c r="C526" s="34"/>
    </row>
    <row r="527" spans="2:3" x14ac:dyDescent="0.25">
      <c r="B527" s="33"/>
      <c r="C527" s="34"/>
    </row>
    <row r="528" spans="2:3" x14ac:dyDescent="0.25">
      <c r="B528" s="33"/>
      <c r="C528" s="34"/>
    </row>
    <row r="529" spans="2:3" x14ac:dyDescent="0.25">
      <c r="B529" s="33"/>
      <c r="C529" s="34"/>
    </row>
    <row r="530" spans="2:3" x14ac:dyDescent="0.25">
      <c r="B530" s="33"/>
      <c r="C530" s="34"/>
    </row>
    <row r="531" spans="2:3" x14ac:dyDescent="0.25">
      <c r="B531" s="33"/>
      <c r="C531" s="34"/>
    </row>
    <row r="532" spans="2:3" x14ac:dyDescent="0.25">
      <c r="B532" s="33"/>
      <c r="C532" s="34"/>
    </row>
    <row r="533" spans="2:3" x14ac:dyDescent="0.25">
      <c r="B533" s="33"/>
      <c r="C533" s="34"/>
    </row>
    <row r="534" spans="2:3" x14ac:dyDescent="0.25">
      <c r="B534" s="33"/>
      <c r="C534" s="34"/>
    </row>
    <row r="535" spans="2:3" x14ac:dyDescent="0.25">
      <c r="B535" s="33"/>
      <c r="C535" s="34"/>
    </row>
    <row r="536" spans="2:3" x14ac:dyDescent="0.25">
      <c r="B536" s="33"/>
      <c r="C536" s="34"/>
    </row>
    <row r="537" spans="2:3" x14ac:dyDescent="0.25">
      <c r="B537" s="33"/>
      <c r="C537" s="34"/>
    </row>
    <row r="538" spans="2:3" x14ac:dyDescent="0.25">
      <c r="B538" s="33"/>
      <c r="C538" s="34"/>
    </row>
    <row r="539" spans="2:3" x14ac:dyDescent="0.25">
      <c r="B539" s="33"/>
      <c r="C539" s="34"/>
    </row>
    <row r="540" spans="2:3" x14ac:dyDescent="0.25">
      <c r="B540" s="33"/>
      <c r="C540" s="34"/>
    </row>
    <row r="541" spans="2:3" x14ac:dyDescent="0.25">
      <c r="B541" s="33"/>
      <c r="C541" s="34"/>
    </row>
    <row r="542" spans="2:3" x14ac:dyDescent="0.25">
      <c r="B542" s="33"/>
      <c r="C542" s="34"/>
    </row>
    <row r="543" spans="2:3" x14ac:dyDescent="0.25">
      <c r="B543" s="33"/>
      <c r="C543" s="34"/>
    </row>
    <row r="544" spans="2:3" x14ac:dyDescent="0.25">
      <c r="B544" s="33"/>
      <c r="C544" s="34"/>
    </row>
    <row r="545" spans="2:3" x14ac:dyDescent="0.25">
      <c r="B545" s="33"/>
      <c r="C545" s="34"/>
    </row>
    <row r="546" spans="2:3" x14ac:dyDescent="0.25">
      <c r="B546" s="33"/>
      <c r="C546" s="34"/>
    </row>
    <row r="547" spans="2:3" x14ac:dyDescent="0.25">
      <c r="B547" s="33"/>
      <c r="C547" s="34"/>
    </row>
    <row r="548" spans="2:3" x14ac:dyDescent="0.25">
      <c r="B548" s="33"/>
      <c r="C548" s="34"/>
    </row>
    <row r="549" spans="2:3" x14ac:dyDescent="0.25">
      <c r="B549" s="33"/>
      <c r="C549" s="34"/>
    </row>
    <row r="550" spans="2:3" x14ac:dyDescent="0.25">
      <c r="B550" s="33"/>
      <c r="C550" s="34"/>
    </row>
    <row r="551" spans="2:3" x14ac:dyDescent="0.25">
      <c r="B551" s="33"/>
      <c r="C551" s="34"/>
    </row>
    <row r="552" spans="2:3" x14ac:dyDescent="0.25">
      <c r="B552" s="33"/>
      <c r="C552" s="34"/>
    </row>
    <row r="553" spans="2:3" x14ac:dyDescent="0.25">
      <c r="B553" s="33"/>
      <c r="C553" s="34"/>
    </row>
    <row r="554" spans="2:3" x14ac:dyDescent="0.25">
      <c r="B554" s="33"/>
      <c r="C554" s="34"/>
    </row>
    <row r="555" spans="2:3" x14ac:dyDescent="0.25">
      <c r="B555" s="33"/>
      <c r="C555" s="34"/>
    </row>
    <row r="556" spans="2:3" x14ac:dyDescent="0.25">
      <c r="B556" s="33"/>
      <c r="C556" s="34"/>
    </row>
    <row r="557" spans="2:3" x14ac:dyDescent="0.25">
      <c r="B557" s="33"/>
      <c r="C557" s="34"/>
    </row>
    <row r="558" spans="2:3" x14ac:dyDescent="0.25">
      <c r="B558" s="33"/>
      <c r="C558" s="34"/>
    </row>
    <row r="559" spans="2:3" x14ac:dyDescent="0.25">
      <c r="B559" s="33"/>
      <c r="C559" s="34"/>
    </row>
    <row r="560" spans="2:3" x14ac:dyDescent="0.25">
      <c r="B560" s="33"/>
      <c r="C560" s="34"/>
    </row>
    <row r="561" spans="2:3" x14ac:dyDescent="0.25">
      <c r="B561" s="33"/>
      <c r="C561" s="34"/>
    </row>
    <row r="562" spans="2:3" x14ac:dyDescent="0.25">
      <c r="B562" s="33"/>
      <c r="C562" s="34"/>
    </row>
    <row r="563" spans="2:3" x14ac:dyDescent="0.25">
      <c r="B563" s="33"/>
      <c r="C563" s="34"/>
    </row>
    <row r="564" spans="2:3" x14ac:dyDescent="0.25">
      <c r="B564" s="33"/>
      <c r="C564" s="34"/>
    </row>
    <row r="565" spans="2:3" x14ac:dyDescent="0.25">
      <c r="B565" s="33"/>
      <c r="C565" s="34"/>
    </row>
    <row r="566" spans="2:3" x14ac:dyDescent="0.25">
      <c r="B566" s="33"/>
      <c r="C566" s="34"/>
    </row>
    <row r="567" spans="2:3" x14ac:dyDescent="0.25">
      <c r="B567" s="33"/>
      <c r="C567" s="34"/>
    </row>
    <row r="568" spans="2:3" x14ac:dyDescent="0.25">
      <c r="B568" s="33"/>
      <c r="C568" s="34"/>
    </row>
    <row r="569" spans="2:3" x14ac:dyDescent="0.25">
      <c r="B569" s="33"/>
      <c r="C569" s="34"/>
    </row>
    <row r="570" spans="2:3" x14ac:dyDescent="0.25">
      <c r="B570" s="33"/>
      <c r="C570" s="34"/>
    </row>
    <row r="571" spans="2:3" x14ac:dyDescent="0.25">
      <c r="B571" s="33"/>
      <c r="C571" s="34"/>
    </row>
    <row r="572" spans="2:3" x14ac:dyDescent="0.25">
      <c r="B572" s="33"/>
      <c r="C572" s="34"/>
    </row>
    <row r="573" spans="2:3" x14ac:dyDescent="0.25">
      <c r="B573" s="33"/>
      <c r="C573" s="34"/>
    </row>
    <row r="574" spans="2:3" x14ac:dyDescent="0.25">
      <c r="B574" s="33"/>
      <c r="C574" s="34"/>
    </row>
  </sheetData>
  <autoFilter ref="A3:K30" xr:uid="{6172291E-C956-4176-AAB3-CA3B09A44DEF}">
    <sortState xmlns:xlrd2="http://schemas.microsoft.com/office/spreadsheetml/2017/richdata2" ref="A4:K31">
      <sortCondition ref="A3:A30"/>
    </sortState>
  </autoFilter>
  <mergeCells count="6">
    <mergeCell ref="J2:K2"/>
    <mergeCell ref="A1:D1"/>
    <mergeCell ref="B2:C2"/>
    <mergeCell ref="D2:E2"/>
    <mergeCell ref="F2:G2"/>
    <mergeCell ref="H2:I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99B-5931-4351-AD93-49AFA84F6FC4}">
  <dimension ref="A1:A2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1" x14ac:dyDescent="0.25">
      <c r="A1" t="s">
        <v>197</v>
      </c>
    </row>
    <row r="2" spans="1:1" x14ac:dyDescent="0.25">
      <c r="A2" s="4" t="s">
        <v>198</v>
      </c>
    </row>
  </sheetData>
  <hyperlinks>
    <hyperlink ref="A2" r:id="rId1" xr:uid="{7FFADEA0-D8F1-4568-895E-D09E1A3D486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24092963C55948AC65F2D14C4C237A" ma:contentTypeVersion="16" ma:contentTypeDescription="Crée un document." ma:contentTypeScope="" ma:versionID="2ddc93dc48b737f09bbcaf0146d24dcc">
  <xsd:schema xmlns:xsd="http://www.w3.org/2001/XMLSchema" xmlns:xs="http://www.w3.org/2001/XMLSchema" xmlns:p="http://schemas.microsoft.com/office/2006/metadata/properties" xmlns:ns2="6e6cc9b4-af2e-4219-bd6b-5984ddb8d28d" xmlns:ns3="10eead59-0951-404e-9588-1c61626191da" targetNamespace="http://schemas.microsoft.com/office/2006/metadata/properties" ma:root="true" ma:fieldsID="203c10200eff11e0498b868f8e568245" ns2:_="" ns3:_="">
    <xsd:import namespace="6e6cc9b4-af2e-4219-bd6b-5984ddb8d28d"/>
    <xsd:import namespace="10eead59-0951-404e-9588-1c61626191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cc9b4-af2e-4219-bd6b-5984ddb8d2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f22252d8-3304-4d7c-9af9-5a8eb1728c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eead59-0951-404e-9588-1c61626191d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7a607b5-b064-40d9-a69e-03caac1d5153}" ma:internalName="TaxCatchAll" ma:showField="CatchAllData" ma:web="10eead59-0951-404e-9588-1c61626191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6cc9b4-af2e-4219-bd6b-5984ddb8d28d">
      <Terms xmlns="http://schemas.microsoft.com/office/infopath/2007/PartnerControls"/>
    </lcf76f155ced4ddcb4097134ff3c332f>
    <TaxCatchAll xmlns="10eead59-0951-404e-9588-1c61626191d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31E659-E874-4F11-960D-9439BE2982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cc9b4-af2e-4219-bd6b-5984ddb8d28d"/>
    <ds:schemaRef ds:uri="10eead59-0951-404e-9588-1c61626191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A2F25C-0542-4093-9E65-18BE7EF607B8}">
  <ds:schemaRefs>
    <ds:schemaRef ds:uri="http://schemas.microsoft.com/office/2006/metadata/properties"/>
    <ds:schemaRef ds:uri="http://schemas.microsoft.com/office/infopath/2007/PartnerControls"/>
    <ds:schemaRef ds:uri="6e6cc9b4-af2e-4219-bd6b-5984ddb8d28d"/>
    <ds:schemaRef ds:uri="10eead59-0951-404e-9588-1c61626191da"/>
  </ds:schemaRefs>
</ds:datastoreItem>
</file>

<file path=customXml/itemProps3.xml><?xml version="1.0" encoding="utf-8"?>
<ds:datastoreItem xmlns:ds="http://schemas.openxmlformats.org/officeDocument/2006/customXml" ds:itemID="{EEEF38AA-08EF-41E1-B69E-466A99F66A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Accueil</vt:lpstr>
      <vt:lpstr>Général</vt:lpstr>
      <vt:lpstr>Back_général</vt:lpstr>
      <vt:lpstr>E&amp;C</vt:lpstr>
      <vt:lpstr>Educ</vt:lpstr>
      <vt:lpstr>Back_E&amp;C</vt:lpstr>
      <vt:lpstr>CTP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Battistini Jerome</cp:lastModifiedBy>
  <cp:revision/>
  <dcterms:created xsi:type="dcterms:W3CDTF">2026-03-31T14:46:17Z</dcterms:created>
  <dcterms:modified xsi:type="dcterms:W3CDTF">2026-05-07T15:55:45Z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0x0101002724092963C55948AC65F2D14C4C237A</vt:lpwstr>
  </property>
  <property fmtid="{D5CDD505-2E9C-101B-9397-08002B2CF9AE}" pid="3" name="MediaServiceImageTags">
    <vt:lpwstr/>
  </property>
</Properties>
</file>